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약" sheetId="1" state="visible" r:id="rId1"/>
    <sheet xmlns:r="http://schemas.openxmlformats.org/officeDocument/2006/relationships" name="사용자 관리" sheetId="2" state="visible" r:id="rId2"/>
    <sheet xmlns:r="http://schemas.openxmlformats.org/officeDocument/2006/relationships" name="사용 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000000"/>
      <sz val="10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888888"/>
      <sz val="9"/>
    </font>
    <font>
      <name val="맑은 고딕"/>
      <color rgb="00000000"/>
      <sz val="9.5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FCDDC"/>
      </left>
      <right style="thin">
        <color rgb="00BFCDDC"/>
      </right>
      <top style="thin">
        <color rgb="00BFCDDC"/>
      </top>
      <bottom style="thin">
        <color rgb="00BFCDDC"/>
      </bottom>
    </border>
    <border>
      <left style="thin">
        <color rgb="00BFCDDC"/>
      </left>
      <right/>
      <top/>
      <bottom/>
      <diagonal/>
    </border>
    <border>
      <left style="thin">
        <color rgb="00BFCDDC"/>
      </left>
      <right style="thin">
        <color rgb="00BFCDDC"/>
      </right>
      <top/>
      <bottom/>
      <diagonal/>
    </border>
    <border>
      <left style="thin">
        <color rgb="00BFCDDC"/>
      </left>
      <right style="thin">
        <color rgb="00BFCDDC"/>
      </right>
      <top/>
      <bottom style="thin">
        <color rgb="00BFCDD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M211 렌더팜 예약 시트   |   주차: ____________</t>
        </is>
      </c>
    </row>
    <row r="3" ht="24" customHeight="1">
      <c r="A3" s="2" t="inlineStr">
        <is>
          <t>시간 블록</t>
        </is>
      </c>
      <c r="B3" s="2" t="inlineStr">
        <is>
          <t>Worker 그룹</t>
        </is>
      </c>
      <c r="C3" s="2" t="inlineStr">
        <is>
          <t>월</t>
        </is>
      </c>
      <c r="D3" s="2" t="inlineStr">
        <is>
          <t>화</t>
        </is>
      </c>
      <c r="E3" s="2" t="inlineStr">
        <is>
          <t>수</t>
        </is>
      </c>
      <c r="F3" s="2" t="inlineStr">
        <is>
          <t>목</t>
        </is>
      </c>
      <c r="G3" s="2" t="inlineStr">
        <is>
          <t>금</t>
        </is>
      </c>
      <c r="H3" s="2" t="inlineStr">
        <is>
          <t>토</t>
        </is>
      </c>
      <c r="I3" s="2" t="inlineStr">
        <is>
          <t>일</t>
        </is>
      </c>
    </row>
    <row r="4" ht="22" customHeight="1">
      <c r="A4" s="3" t="inlineStr">
        <is>
          <t>11:00 - 15:00</t>
        </is>
      </c>
      <c r="B4" s="4" t="inlineStr">
        <is>
          <t>Maya_Arnold_Parallel</t>
        </is>
      </c>
      <c r="C4" s="5" t="n"/>
      <c r="D4" s="5" t="n"/>
      <c r="E4" s="5" t="n"/>
      <c r="F4" s="5" t="n"/>
      <c r="G4" s="5" t="n"/>
      <c r="H4" s="5" t="n"/>
      <c r="I4" s="5" t="n"/>
    </row>
    <row r="5" ht="22" customHeight="1">
      <c r="A5" s="6" t="n"/>
      <c r="B5" s="4" t="inlineStr">
        <is>
          <t>Maya_Arnold_Serial</t>
        </is>
      </c>
      <c r="C5" s="5" t="n"/>
      <c r="D5" s="5" t="n"/>
      <c r="E5" s="5" t="n"/>
      <c r="F5" s="5" t="n"/>
      <c r="G5" s="5" t="n"/>
      <c r="H5" s="5" t="n"/>
      <c r="I5" s="5" t="n"/>
    </row>
    <row r="6" ht="22" customHeight="1">
      <c r="A6" s="7" t="n"/>
      <c r="B6" s="4" t="inlineStr">
        <is>
          <t>Blender_Parallel</t>
        </is>
      </c>
      <c r="C6" s="5" t="n"/>
      <c r="D6" s="5" t="n"/>
      <c r="E6" s="5" t="n"/>
      <c r="F6" s="5" t="n"/>
      <c r="G6" s="5" t="n"/>
      <c r="H6" s="5" t="n"/>
      <c r="I6" s="5" t="n"/>
    </row>
    <row r="7" ht="22" customHeight="1">
      <c r="A7" s="8" t="inlineStr">
        <is>
          <t>15:00 - 19:00</t>
        </is>
      </c>
      <c r="B7" s="9" t="inlineStr">
        <is>
          <t>Maya_Arnold_Parallel</t>
        </is>
      </c>
      <c r="C7" s="10" t="n"/>
      <c r="D7" s="10" t="n"/>
      <c r="E7" s="10" t="n"/>
      <c r="F7" s="10" t="n"/>
      <c r="G7" s="10" t="n"/>
      <c r="H7" s="10" t="n"/>
      <c r="I7" s="10" t="n"/>
    </row>
    <row r="8" ht="22" customHeight="1">
      <c r="A8" s="6" t="n"/>
      <c r="B8" s="9" t="inlineStr">
        <is>
          <t>Maya_Arnold_Serial</t>
        </is>
      </c>
      <c r="C8" s="10" t="n"/>
      <c r="D8" s="10" t="n"/>
      <c r="E8" s="10" t="n"/>
      <c r="F8" s="10" t="n"/>
      <c r="G8" s="10" t="n"/>
      <c r="H8" s="10" t="n"/>
      <c r="I8" s="10" t="n"/>
    </row>
    <row r="9" ht="22" customHeight="1">
      <c r="A9" s="7" t="n"/>
      <c r="B9" s="9" t="inlineStr">
        <is>
          <t>Blender_Parallel</t>
        </is>
      </c>
      <c r="C9" s="10" t="n"/>
      <c r="D9" s="10" t="n"/>
      <c r="E9" s="10" t="n"/>
      <c r="F9" s="10" t="n"/>
      <c r="G9" s="10" t="n"/>
      <c r="H9" s="10" t="n"/>
      <c r="I9" s="10" t="n"/>
    </row>
    <row r="10" ht="22" customHeight="1">
      <c r="A10" s="3" t="inlineStr">
        <is>
          <t>19:00 - 23:00</t>
        </is>
      </c>
      <c r="B10" s="4" t="inlineStr">
        <is>
          <t>Maya_Arnold_Parallel</t>
        </is>
      </c>
      <c r="C10" s="5" t="n"/>
      <c r="D10" s="5" t="n"/>
      <c r="E10" s="5" t="n"/>
      <c r="F10" s="5" t="n"/>
      <c r="G10" s="5" t="n"/>
      <c r="H10" s="5" t="n"/>
      <c r="I10" s="5" t="n"/>
    </row>
    <row r="11" ht="22" customHeight="1">
      <c r="A11" s="6" t="n"/>
      <c r="B11" s="4" t="inlineStr">
        <is>
          <t>Maya_Arnold_Serial</t>
        </is>
      </c>
      <c r="C11" s="5" t="n"/>
      <c r="D11" s="5" t="n"/>
      <c r="E11" s="5" t="n"/>
      <c r="F11" s="5" t="n"/>
      <c r="G11" s="5" t="n"/>
      <c r="H11" s="5" t="n"/>
      <c r="I11" s="5" t="n"/>
    </row>
    <row r="12" ht="22" customHeight="1">
      <c r="A12" s="7" t="n"/>
      <c r="B12" s="4" t="inlineStr">
        <is>
          <t>Blender_Parallel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A13" s="8" t="inlineStr">
        <is>
          <t>23:00 - 03:00</t>
        </is>
      </c>
      <c r="B13" s="9" t="inlineStr">
        <is>
          <t>Maya_Arnold_Parallel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22" customHeight="1">
      <c r="A14" s="6" t="n"/>
      <c r="B14" s="9" t="inlineStr">
        <is>
          <t>Maya_Arnold_Serial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22" customHeight="1">
      <c r="A15" s="7" t="n"/>
      <c r="B15" s="9" t="inlineStr">
        <is>
          <t>Blender_Parallel</t>
        </is>
      </c>
      <c r="C15" s="10" t="n"/>
      <c r="D15" s="10" t="n"/>
      <c r="E15" s="10" t="n"/>
      <c r="F15" s="10" t="n"/>
      <c r="G15" s="10" t="n"/>
      <c r="H15" s="10" t="n"/>
      <c r="I15" s="10" t="n"/>
    </row>
    <row r="16" ht="22" customHeight="1">
      <c r="A16" s="3" t="inlineStr">
        <is>
          <t>03:00 - 07:00</t>
        </is>
      </c>
      <c r="B16" s="4" t="inlineStr">
        <is>
          <t>Maya_Arnold_Parallel</t>
        </is>
      </c>
      <c r="C16" s="5" t="n"/>
      <c r="D16" s="5" t="n"/>
      <c r="E16" s="5" t="n"/>
      <c r="F16" s="5" t="n"/>
      <c r="G16" s="5" t="n"/>
      <c r="H16" s="5" t="n"/>
      <c r="I16" s="5" t="n"/>
    </row>
    <row r="17" ht="22" customHeight="1">
      <c r="A17" s="6" t="n"/>
      <c r="B17" s="4" t="inlineStr">
        <is>
          <t>Maya_Arnold_Serial</t>
        </is>
      </c>
      <c r="C17" s="5" t="n"/>
      <c r="D17" s="5" t="n"/>
      <c r="E17" s="5" t="n"/>
      <c r="F17" s="5" t="n"/>
      <c r="G17" s="5" t="n"/>
      <c r="H17" s="5" t="n"/>
      <c r="I17" s="5" t="n"/>
    </row>
    <row r="18" ht="22" customHeight="1">
      <c r="A18" s="7" t="n"/>
      <c r="B18" s="4" t="inlineStr">
        <is>
          <t>Blender_Parallel</t>
        </is>
      </c>
      <c r="C18" s="5" t="n"/>
      <c r="D18" s="5" t="n"/>
      <c r="E18" s="5" t="n"/>
      <c r="F18" s="5" t="n"/>
      <c r="G18" s="5" t="n"/>
      <c r="H18" s="5" t="n"/>
      <c r="I18" s="5" t="n"/>
    </row>
    <row r="19" ht="22" customHeight="1">
      <c r="A19" s="8" t="inlineStr">
        <is>
          <t>07:00 - 11:00</t>
        </is>
      </c>
      <c r="B19" s="9" t="inlineStr">
        <is>
          <t>Maya_Arnold_Parallel</t>
        </is>
      </c>
      <c r="C19" s="10" t="n"/>
      <c r="D19" s="10" t="n"/>
      <c r="E19" s="10" t="n"/>
      <c r="F19" s="10" t="n"/>
      <c r="G19" s="10" t="n"/>
      <c r="H19" s="10" t="n"/>
      <c r="I19" s="10" t="n"/>
    </row>
    <row r="20" ht="22" customHeight="1">
      <c r="A20" s="6" t="n"/>
      <c r="B20" s="9" t="inlineStr">
        <is>
          <t>Maya_Arnold_Serial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22" customHeight="1">
      <c r="A21" s="7" t="n"/>
      <c r="B21" s="9" t="inlineStr">
        <is>
          <t>Blender_Parallel</t>
        </is>
      </c>
      <c r="C21" s="10" t="n"/>
      <c r="D21" s="10" t="n"/>
      <c r="E21" s="10" t="n"/>
      <c r="F21" s="10" t="n"/>
      <c r="G21" s="10" t="n"/>
      <c r="H21" s="10" t="n"/>
      <c r="I21" s="10" t="n"/>
    </row>
    <row r="23">
      <c r="A23" s="11" t="inlineStr">
        <is>
          <t>셀에 본인 학번을 입력하세요.  이미 학번이 적힌 칸은 예약 불가입니다.  타인의 예약을 수정·삭제하면 페널티가 부과됩니다.</t>
        </is>
      </c>
    </row>
  </sheetData>
  <mergeCells count="8">
    <mergeCell ref="A7:A9"/>
    <mergeCell ref="A4:A6"/>
    <mergeCell ref="A16:A18"/>
    <mergeCell ref="A10:A12"/>
    <mergeCell ref="A1:I1"/>
    <mergeCell ref="A19:A21"/>
    <mergeCell ref="A23:I23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 ht="30" customHeight="1">
      <c r="A1" s="1" t="inlineStr">
        <is>
          <t>사용자별 예약 할당량 관리</t>
        </is>
      </c>
    </row>
    <row r="3" ht="24" customHeight="1">
      <c r="A3" s="2" t="inlineStr">
        <is>
          <t>학번</t>
        </is>
      </c>
      <c r="B3" s="2" t="inlineStr">
        <is>
          <t>라이선스 수</t>
        </is>
      </c>
      <c r="C3" s="2" t="inlineStr">
        <is>
          <t>주 최대 블록</t>
        </is>
      </c>
      <c r="D3" s="2" t="inlineStr">
        <is>
          <t>사용한 블록</t>
        </is>
      </c>
      <c r="E3" s="2" t="inlineStr">
        <is>
          <t>남은 블록</t>
        </is>
      </c>
    </row>
    <row r="4" ht="20" customHeight="1">
      <c r="A4" s="5" t="inlineStr">
        <is>
          <t>C393169</t>
        </is>
      </c>
      <c r="B4" s="5" t="n">
        <v>1</v>
      </c>
      <c r="C4" s="5">
        <f>IF(B4="","",B4*12)</f>
        <v/>
      </c>
      <c r="D4" s="5">
        <f>IF(A4="","",COUNTIF(예약!$C$4:$I$21,A4))</f>
        <v/>
      </c>
      <c r="E4" s="3">
        <f>IF(A4="","",C4-D4)</f>
        <v/>
      </c>
    </row>
    <row r="5" ht="20" customHeight="1">
      <c r="A5" s="10" t="inlineStr">
        <is>
          <t>C176118</t>
        </is>
      </c>
      <c r="B5" s="10" t="n">
        <v>1</v>
      </c>
      <c r="C5" s="10">
        <f>IF(B5="","",B5*12)</f>
        <v/>
      </c>
      <c r="D5" s="10">
        <f>IF(A5="","",COUNTIF(예약!$C$4:$I$21,A5))</f>
        <v/>
      </c>
      <c r="E5" s="8">
        <f>IF(A5="","",C5-D5)</f>
        <v/>
      </c>
    </row>
    <row r="6" ht="20" customHeight="1">
      <c r="A6" s="5" t="inlineStr">
        <is>
          <t>C076110</t>
        </is>
      </c>
      <c r="B6" s="5" t="n">
        <v>1</v>
      </c>
      <c r="C6" s="5">
        <f>IF(B6="","",B6*12)</f>
        <v/>
      </c>
      <c r="D6" s="5">
        <f>IF(A6="","",COUNTIF(예약!$C$4:$I$21,A6))</f>
        <v/>
      </c>
      <c r="E6" s="3">
        <f>IF(A6="","",C6-D6)</f>
        <v/>
      </c>
    </row>
    <row r="7" ht="20" customHeight="1">
      <c r="A7" s="10" t="inlineStr">
        <is>
          <t>C293350</t>
        </is>
      </c>
      <c r="B7" s="10" t="n">
        <v>1</v>
      </c>
      <c r="C7" s="10">
        <f>IF(B7="","",B7*12)</f>
        <v/>
      </c>
      <c r="D7" s="10">
        <f>IF(A7="","",COUNTIF(예약!$C$4:$I$21,A7))</f>
        <v/>
      </c>
      <c r="E7" s="8">
        <f>IF(A7="","",C7-D7)</f>
        <v/>
      </c>
    </row>
    <row r="8" ht="20" customHeight="1">
      <c r="A8" s="5" t="inlineStr">
        <is>
          <t>C076078</t>
        </is>
      </c>
      <c r="B8" s="5" t="n">
        <v>1</v>
      </c>
      <c r="C8" s="5">
        <f>IF(B8="","",B8*12)</f>
        <v/>
      </c>
      <c r="D8" s="5">
        <f>IF(A8="","",COUNTIF(예약!$C$4:$I$21,A8))</f>
        <v/>
      </c>
      <c r="E8" s="3">
        <f>IF(A8="","",C8-D8)</f>
        <v/>
      </c>
    </row>
    <row r="9" ht="20" customHeight="1">
      <c r="A9" s="10" t="n"/>
      <c r="B9" s="10" t="n"/>
      <c r="C9" s="10">
        <f>IF(B9="","",B9*12)</f>
        <v/>
      </c>
      <c r="D9" s="10">
        <f>IF(A9="","",COUNTIF(예약!$C$4:$I$21,A9))</f>
        <v/>
      </c>
      <c r="E9" s="8">
        <f>IF(A9="","",C9-D9)</f>
        <v/>
      </c>
    </row>
    <row r="10" ht="20" customHeight="1">
      <c r="A10" s="5" t="n"/>
      <c r="B10" s="5" t="n"/>
      <c r="C10" s="5">
        <f>IF(B10="","",B10*12)</f>
        <v/>
      </c>
      <c r="D10" s="5">
        <f>IF(A10="","",COUNTIF(예약!$C$4:$I$21,A10))</f>
        <v/>
      </c>
      <c r="E10" s="3">
        <f>IF(A10="","",C10-D10)</f>
        <v/>
      </c>
    </row>
    <row r="11" ht="20" customHeight="1">
      <c r="A11" s="10" t="n"/>
      <c r="B11" s="10" t="n"/>
      <c r="C11" s="10">
        <f>IF(B11="","",B11*12)</f>
        <v/>
      </c>
      <c r="D11" s="10">
        <f>IF(A11="","",COUNTIF(예약!$C$4:$I$21,A11))</f>
        <v/>
      </c>
      <c r="E11" s="8">
        <f>IF(A11="","",C11-D11)</f>
        <v/>
      </c>
    </row>
    <row r="12" ht="20" customHeight="1">
      <c r="A12" s="5" t="n"/>
      <c r="B12" s="5" t="n"/>
      <c r="C12" s="5">
        <f>IF(B12="","",B12*12)</f>
        <v/>
      </c>
      <c r="D12" s="5">
        <f>IF(A12="","",COUNTIF(예약!$C$4:$I$21,A12))</f>
        <v/>
      </c>
      <c r="E12" s="3">
        <f>IF(A12="","",C12-D12)</f>
        <v/>
      </c>
    </row>
    <row r="13" ht="20" customHeight="1">
      <c r="A13" s="10" t="n"/>
      <c r="B13" s="10" t="n"/>
      <c r="C13" s="10">
        <f>IF(B13="","",B13*12)</f>
        <v/>
      </c>
      <c r="D13" s="10">
        <f>IF(A13="","",COUNTIF(예약!$C$4:$I$21,A13))</f>
        <v/>
      </c>
      <c r="E13" s="8">
        <f>IF(A13="","",C13-D13)</f>
        <v/>
      </c>
    </row>
    <row r="14" ht="20" customHeight="1">
      <c r="A14" s="5" t="n"/>
      <c r="B14" s="5" t="n"/>
      <c r="C14" s="5">
        <f>IF(B14="","",B14*12)</f>
        <v/>
      </c>
      <c r="D14" s="5">
        <f>IF(A14="","",COUNTIF(예약!$C$4:$I$21,A14))</f>
        <v/>
      </c>
      <c r="E14" s="3">
        <f>IF(A14="","",C14-D14)</f>
        <v/>
      </c>
    </row>
    <row r="15" ht="20" customHeight="1">
      <c r="A15" s="10" t="n"/>
      <c r="B15" s="10" t="n"/>
      <c r="C15" s="10">
        <f>IF(B15="","",B15*12)</f>
        <v/>
      </c>
      <c r="D15" s="10">
        <f>IF(A15="","",COUNTIF(예약!$C$4:$I$21,A15))</f>
        <v/>
      </c>
      <c r="E15" s="8">
        <f>IF(A15="","",C15-D15)</f>
        <v/>
      </c>
    </row>
    <row r="16" ht="20" customHeight="1">
      <c r="A16" s="5" t="n"/>
      <c r="B16" s="5" t="n"/>
      <c r="C16" s="5">
        <f>IF(B16="","",B16*12)</f>
        <v/>
      </c>
      <c r="D16" s="5">
        <f>IF(A16="","",COUNTIF(예약!$C$4:$I$21,A16))</f>
        <v/>
      </c>
      <c r="E16" s="3">
        <f>IF(A16="","",C16-D16)</f>
        <v/>
      </c>
    </row>
    <row r="17" ht="20" customHeight="1">
      <c r="A17" s="10" t="n"/>
      <c r="B17" s="10" t="n"/>
      <c r="C17" s="10">
        <f>IF(B17="","",B17*12)</f>
        <v/>
      </c>
      <c r="D17" s="10">
        <f>IF(A17="","",COUNTIF(예약!$C$4:$I$21,A17))</f>
        <v/>
      </c>
      <c r="E17" s="8">
        <f>IF(A17="","",C17-D17)</f>
        <v/>
      </c>
    </row>
    <row r="18" ht="20" customHeight="1">
      <c r="A18" s="5" t="n"/>
      <c r="B18" s="5" t="n"/>
      <c r="C18" s="5">
        <f>IF(B18="","",B18*12)</f>
        <v/>
      </c>
      <c r="D18" s="5">
        <f>IF(A18="","",COUNTIF(예약!$C$4:$I$21,A18))</f>
        <v/>
      </c>
      <c r="E18" s="3">
        <f>IF(A18="","",C18-D18)</f>
        <v/>
      </c>
    </row>
    <row r="19" ht="20" customHeight="1">
      <c r="A19" s="10" t="n"/>
      <c r="B19" s="10" t="n"/>
      <c r="C19" s="10">
        <f>IF(B19="","",B19*12)</f>
        <v/>
      </c>
      <c r="D19" s="10">
        <f>IF(A19="","",COUNTIF(예약!$C$4:$I$21,A19))</f>
        <v/>
      </c>
      <c r="E19" s="8">
        <f>IF(A19="","",C19-D19)</f>
        <v/>
      </c>
    </row>
    <row r="20" ht="20" customHeight="1">
      <c r="A20" s="5" t="n"/>
      <c r="B20" s="5" t="n"/>
      <c r="C20" s="5">
        <f>IF(B20="","",B20*12)</f>
        <v/>
      </c>
      <c r="D20" s="5">
        <f>IF(A20="","",COUNTIF(예약!$C$4:$I$21,A20))</f>
        <v/>
      </c>
      <c r="E20" s="3">
        <f>IF(A20="","",C20-D20)</f>
        <v/>
      </c>
    </row>
    <row r="21" ht="20" customHeight="1">
      <c r="A21" s="10" t="n"/>
      <c r="B21" s="10" t="n"/>
      <c r="C21" s="10">
        <f>IF(B21="","",B21*12)</f>
        <v/>
      </c>
      <c r="D21" s="10">
        <f>IF(A21="","",COUNTIF(예약!$C$4:$I$21,A21))</f>
        <v/>
      </c>
      <c r="E21" s="8">
        <f>IF(A21="","",C21-D21)</f>
        <v/>
      </c>
    </row>
    <row r="22" ht="20" customHeight="1">
      <c r="A22" s="5" t="n"/>
      <c r="B22" s="5" t="n"/>
      <c r="C22" s="5">
        <f>IF(B22="","",B22*12)</f>
        <v/>
      </c>
      <c r="D22" s="5">
        <f>IF(A22="","",COUNTIF(예약!$C$4:$I$21,A22))</f>
        <v/>
      </c>
      <c r="E22" s="3">
        <f>IF(A22="","",C22-D22)</f>
        <v/>
      </c>
    </row>
    <row r="23" ht="20" customHeight="1">
      <c r="A23" s="10" t="n"/>
      <c r="B23" s="10" t="n"/>
      <c r="C23" s="10">
        <f>IF(B23="","",B23*12)</f>
        <v/>
      </c>
      <c r="D23" s="10">
        <f>IF(A23="","",COUNTIF(예약!$C$4:$I$21,A23))</f>
        <v/>
      </c>
      <c r="E23" s="8">
        <f>IF(A23="","",C23-D23)</f>
        <v/>
      </c>
    </row>
    <row r="24" ht="20" customHeight="1">
      <c r="A24" s="5" t="n"/>
      <c r="B24" s="5" t="n"/>
      <c r="C24" s="5">
        <f>IF(B24="","",B24*12)</f>
        <v/>
      </c>
      <c r="D24" s="5">
        <f>IF(A24="","",COUNTIF(예약!$C$4:$I$21,A24))</f>
        <v/>
      </c>
      <c r="E24" s="3">
        <f>IF(A24="","",C24-D24)</f>
        <v/>
      </c>
    </row>
    <row r="25" ht="20" customHeight="1">
      <c r="A25" s="10" t="n"/>
      <c r="B25" s="10" t="n"/>
      <c r="C25" s="10">
        <f>IF(B25="","",B25*12)</f>
        <v/>
      </c>
      <c r="D25" s="10">
        <f>IF(A25="","",COUNTIF(예약!$C$4:$I$21,A25))</f>
        <v/>
      </c>
      <c r="E25" s="8">
        <f>IF(A25="","",C25-D25)</f>
        <v/>
      </c>
    </row>
    <row r="26" ht="20" customHeight="1">
      <c r="A26" s="5" t="n"/>
      <c r="B26" s="5" t="n"/>
      <c r="C26" s="5">
        <f>IF(B26="","",B26*12)</f>
        <v/>
      </c>
      <c r="D26" s="5">
        <f>IF(A26="","",COUNTIF(예약!$C$4:$I$21,A26))</f>
        <v/>
      </c>
      <c r="E26" s="3">
        <f>IF(A26="","",C26-D26)</f>
        <v/>
      </c>
    </row>
    <row r="27" ht="20" customHeight="1">
      <c r="A27" s="10" t="n"/>
      <c r="B27" s="10" t="n"/>
      <c r="C27" s="10">
        <f>IF(B27="","",B27*12)</f>
        <v/>
      </c>
      <c r="D27" s="10">
        <f>IF(A27="","",COUNTIF(예약!$C$4:$I$21,A27))</f>
        <v/>
      </c>
      <c r="E27" s="8">
        <f>IF(A27="","",C27-D27)</f>
        <v/>
      </c>
    </row>
    <row r="28" ht="20" customHeight="1">
      <c r="A28" s="5" t="n"/>
      <c r="B28" s="5" t="n"/>
      <c r="C28" s="5">
        <f>IF(B28="","",B28*12)</f>
        <v/>
      </c>
      <c r="D28" s="5">
        <f>IF(A28="","",COUNTIF(예약!$C$4:$I$21,A28))</f>
        <v/>
      </c>
      <c r="E28" s="3">
        <f>IF(A28="","",C28-D28)</f>
        <v/>
      </c>
    </row>
    <row r="29" ht="20" customHeight="1">
      <c r="A29" s="10" t="n"/>
      <c r="B29" s="10" t="n"/>
      <c r="C29" s="10">
        <f>IF(B29="","",B29*12)</f>
        <v/>
      </c>
      <c r="D29" s="10">
        <f>IF(A29="","",COUNTIF(예약!$C$4:$I$21,A29))</f>
        <v/>
      </c>
      <c r="E29" s="8">
        <f>IF(A29="","",C29-D29)</f>
        <v/>
      </c>
    </row>
    <row r="30" ht="20" customHeight="1">
      <c r="A30" s="5" t="n"/>
      <c r="B30" s="5" t="n"/>
      <c r="C30" s="5">
        <f>IF(B30="","",B30*12)</f>
        <v/>
      </c>
      <c r="D30" s="5">
        <f>IF(A30="","",COUNTIF(예약!$C$4:$I$21,A30))</f>
        <v/>
      </c>
      <c r="E30" s="3">
        <f>IF(A30="","",C30-D30)</f>
        <v/>
      </c>
    </row>
    <row r="31" ht="20" customHeight="1">
      <c r="A31" s="10" t="n"/>
      <c r="B31" s="10" t="n"/>
      <c r="C31" s="10">
        <f>IF(B31="","",B31*12)</f>
        <v/>
      </c>
      <c r="D31" s="10">
        <f>IF(A31="","",COUNTIF(예약!$C$4:$I$21,A31))</f>
        <v/>
      </c>
      <c r="E31" s="8">
        <f>IF(A31="","",C31-D31)</f>
        <v/>
      </c>
    </row>
    <row r="32" ht="20" customHeight="1">
      <c r="A32" s="5" t="n"/>
      <c r="B32" s="5" t="n"/>
      <c r="C32" s="5">
        <f>IF(B32="","",B32*12)</f>
        <v/>
      </c>
      <c r="D32" s="5">
        <f>IF(A32="","",COUNTIF(예약!$C$4:$I$21,A32))</f>
        <v/>
      </c>
      <c r="E32" s="3">
        <f>IF(A32="","",C32-D32)</f>
        <v/>
      </c>
    </row>
    <row r="33" ht="20" customHeight="1">
      <c r="A33" s="10" t="n"/>
      <c r="B33" s="10" t="n"/>
      <c r="C33" s="10">
        <f>IF(B33="","",B33*12)</f>
        <v/>
      </c>
      <c r="D33" s="10">
        <f>IF(A33="","",COUNTIF(예약!$C$4:$I$21,A33))</f>
        <v/>
      </c>
      <c r="E33" s="8">
        <f>IF(A33="","",C33-D33)</f>
        <v/>
      </c>
    </row>
    <row r="36">
      <c r="A36" s="11" t="inlineStr">
        <is>
          <t>라이선스 1개당 주 12블록이 배정됩니다. 1블록 = 4시간.</t>
        </is>
      </c>
    </row>
  </sheetData>
  <mergeCells count="2">
    <mergeCell ref="A1:E1"/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</cols>
  <sheetData>
    <row r="1" ht="30" customHeight="1">
      <c r="A1" s="1" t="inlineStr">
        <is>
          <t>렌더팜 예약 안내</t>
        </is>
      </c>
    </row>
    <row r="3" ht="30" customHeight="1">
      <c r="B3" s="12" t="inlineStr">
        <is>
          <t>예약 단위</t>
        </is>
      </c>
      <c r="C3" s="13" t="inlineStr">
        <is>
          <t>1블록 = 4시간. 하루 6블록(11시 시작 기준)으로 운영합니다.</t>
        </is>
      </c>
    </row>
    <row r="4" ht="30" customHeight="1">
      <c r="B4" s="14" t="inlineStr">
        <is>
          <t>예약 방법</t>
        </is>
      </c>
      <c r="C4" s="15" t="inlineStr">
        <is>
          <t>[예약] 시트에서 원하는 시간 블록과 Worker 그룹 칸에 학번을 입력합니다.</t>
        </is>
      </c>
    </row>
    <row r="5" ht="30" customHeight="1">
      <c r="B5" s="12" t="inlineStr">
        <is>
          <t>Worker 그룹</t>
        </is>
      </c>
      <c r="C5" s="13" t="inlineStr">
        <is>
          <t>렌더러에 맞는 그룹을 선택하세요. Maya+Arnold는 Arnold 그룹, Blender는 Blender 그룹입니다.</t>
        </is>
      </c>
    </row>
    <row r="6" ht="30" customHeight="1">
      <c r="B6" s="14" t="inlineStr">
        <is>
          <t>할당량</t>
        </is>
      </c>
      <c r="C6" s="15" t="inlineStr">
        <is>
          <t>라이선스 1개당 주 12블록. [사용자 관리] 시트에서 잔여 블록을 확인하세요.</t>
        </is>
      </c>
    </row>
    <row r="7" ht="30" customHeight="1">
      <c r="B7" s="12" t="inlineStr">
        <is>
          <t>예약 변경</t>
        </is>
      </c>
      <c r="C7" s="13" t="inlineStr">
        <is>
          <t>본인 예약만 수정·삭제할 수 있습니다.</t>
        </is>
      </c>
    </row>
    <row r="8" ht="30" customHeight="1">
      <c r="B8" s="14" t="inlineStr">
        <is>
          <t>미사용 처리</t>
        </is>
      </c>
      <c r="C8" s="15" t="inlineStr">
        <is>
          <t>예약 시작 후 30분간 작업 제출이 없으면 예약이 자동 해제됩니다.</t>
        </is>
      </c>
    </row>
    <row r="9" ht="30" customHeight="1">
      <c r="B9" s="12" t="inlineStr">
        <is>
          <t>금지 사항</t>
        </is>
      </c>
      <c r="C9" s="13" t="inlineStr">
        <is>
          <t>타인 예약 수정, 중복 예약, 할당량 초과 예약은 페널티 대상입니다.</t>
        </is>
      </c>
    </row>
    <row r="10" ht="30" customHeight="1">
      <c r="B10" s="14" t="inlineStr">
        <is>
          <t>페널티</t>
        </is>
      </c>
      <c r="C10" s="15" t="inlineStr">
        <is>
          <t>위반 1회당 다음 주 예약 가능 블록이 4블록 차감됩니다.</t>
        </is>
      </c>
    </row>
    <row r="11" ht="30" customHeight="1">
      <c r="B11" s="12" t="inlineStr">
        <is>
          <t>문의</t>
        </is>
      </c>
      <c r="C11" s="13" t="inlineStr">
        <is>
          <t>담당자 또는 지도교수에게 문의하세요.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2026-10-16T02:55:46Z</dcterms:created>
  <dcterms:modified xmlns:dcterms="http://purl.org/dc/terms/" xmlns:xsi="http://www.w3.org/2001/XMLSchema-instance" xsi:type="dcterms:W3CDTF">2026-10-16T02:55:46Z</dcterms:modified>
</cp:coreProperties>
</file>