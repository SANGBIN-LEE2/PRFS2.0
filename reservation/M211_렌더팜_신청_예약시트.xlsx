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신청서" sheetId="1" state="visible" r:id="rId1"/>
    <sheet xmlns:r="http://schemas.openxmlformats.org/officeDocument/2006/relationships" name="02_예약표" sheetId="2" state="visible" r:id="rId2"/>
    <sheet xmlns:r="http://schemas.openxmlformats.org/officeDocument/2006/relationships" name="03_사용현황" sheetId="3" state="visible" r:id="rId3"/>
    <sheet xmlns:r="http://schemas.openxmlformats.org/officeDocument/2006/relationships" name="04_안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3251"/>
      <sz val="16"/>
    </font>
    <font>
      <color rgb="005A6B7D"/>
      <sz val="10"/>
    </font>
    <font>
      <b val="1"/>
      <color rgb="00FFFFFF"/>
      <sz val="10"/>
    </font>
    <font>
      <b val="1"/>
      <color rgb="001F3251"/>
    </font>
    <font>
      <b val="1"/>
    </font>
    <font>
      <b val="1"/>
      <color rgb="00C0392B"/>
    </font>
    <font>
      <b val="1"/>
      <color rgb="001F3251"/>
      <sz val="11"/>
    </font>
    <font>
      <sz val="10"/>
    </font>
    <font>
      <b val="1"/>
      <color rgb="00FFFFFF"/>
      <sz val="12"/>
    </font>
    <font>
      <b val="1"/>
      <color rgb="001F3251"/>
      <sz val="10"/>
    </font>
    <font>
      <i val="1"/>
      <color rgb="007A8696"/>
      <sz val="9"/>
    </font>
    <font>
      <color rgb="008A6D1F"/>
      <sz val="10"/>
    </font>
    <font>
      <b val="1"/>
      <color rgb="001F3251"/>
      <sz val="17"/>
    </font>
    <font>
      <i val="1"/>
      <color rgb="00C0392B"/>
      <sz val="10"/>
    </font>
  </fonts>
  <fills count="12">
    <fill>
      <patternFill/>
    </fill>
    <fill>
      <patternFill patternType="gray125"/>
    </fill>
    <fill>
      <patternFill patternType="solid">
        <fgColor rgb="002F4F76"/>
      </patternFill>
    </fill>
    <fill>
      <patternFill patternType="solid">
        <fgColor rgb="00EAEFF5"/>
      </patternFill>
    </fill>
    <fill>
      <patternFill patternType="solid">
        <fgColor rgb="00F7F9FC"/>
      </patternFill>
    </fill>
    <fill>
      <patternFill patternType="solid">
        <fgColor rgb="001F3251"/>
      </patternFill>
    </fill>
    <fill>
      <patternFill patternType="solid">
        <fgColor rgb="00E8F0FB"/>
      </patternFill>
    </fill>
    <fill>
      <patternFill patternType="solid">
        <fgColor rgb="00EAF6EC"/>
      </patternFill>
    </fill>
    <fill>
      <patternFill patternType="solid">
        <fgColor rgb="00FDF0E6"/>
      </patternFill>
    </fill>
    <fill>
      <patternFill patternType="solid">
        <fgColor rgb="00F2ECF8"/>
      </patternFill>
    </fill>
    <fill>
      <patternFill patternType="solid">
        <fgColor rgb="00FFF4E0"/>
      </patternFill>
    </fill>
    <fill>
      <patternFill patternType="solid">
        <fgColor rgb="00DDE3EA"/>
      </patternFill>
    </fill>
  </fills>
  <borders count="2">
    <border>
      <left/>
      <right/>
      <top/>
      <bottom/>
      <diagonal/>
    </border>
    <border>
      <left style="thin">
        <color rgb="00C8D2DD"/>
      </left>
      <right style="thin">
        <color rgb="00C8D2DD"/>
      </right>
      <top style="thin">
        <color rgb="00C8D2DD"/>
      </top>
      <bottom style="thin">
        <color rgb="00C8D2D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5" borderId="0" applyAlignment="1" pivotButton="0" quotePrefix="0" xfId="0">
      <alignment horizontal="left" vertical="center" indent="1"/>
    </xf>
    <xf numFmtId="0" fontId="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applyAlignment="1" pivotButton="0" quotePrefix="0" xfId="0">
      <alignment vertical="center" wrapText="1"/>
    </xf>
    <xf numFmtId="0" fontId="9" fillId="2" borderId="0" applyAlignment="1" pivotButton="0" quotePrefix="0" xfId="0">
      <alignment vertical="center" indent="1"/>
    </xf>
    <xf numFmtId="0" fontId="0" fillId="2" borderId="0" pivotButton="0" quotePrefix="0" xfId="0"/>
    <xf numFmtId="0" fontId="10" fillId="0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9B1C1C"/>
      </font>
      <fill>
        <patternFill patternType="solid">
          <fgColor rgb="00FCE4E4"/>
        </patternFill>
      </fill>
    </dxf>
    <dxf>
      <fill>
        <patternFill patternType="solid">
          <fgColor rgb="00FFF6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28" customWidth="1" min="4" max="4"/>
    <col width="15" customWidth="1" min="5" max="5"/>
    <col width="10" customWidth="1" min="6" max="6"/>
    <col width="12" customWidth="1" min="7" max="7"/>
    <col width="12" customWidth="1" min="8" max="8"/>
    <col width="12" customWidth="1" min="9" max="9"/>
    <col width="24" customWidth="1" min="10" max="10"/>
  </cols>
  <sheetData>
    <row r="1" ht="26" customHeight="1">
      <c r="A1" s="1" t="inlineStr">
        <is>
          <t>M211 렌더팜 사용 신청서</t>
        </is>
      </c>
    </row>
    <row r="2">
      <c r="A2" s="2" t="inlineStr">
        <is>
          <t>팀별로 한 줄씩 작성해주세요.  분량은 최종 상영 길이(분) 기준입니다.  회색 칸은 자동 계산되니 건드리지 마세요.</t>
        </is>
      </c>
    </row>
    <row r="4" ht="32" customHeight="1">
      <c r="A4" s="3" t="inlineStr">
        <is>
          <t>No.</t>
        </is>
      </c>
      <c r="B4" s="3" t="inlineStr">
        <is>
          <t>팀 프로젝트명</t>
        </is>
      </c>
      <c r="C4" s="3" t="inlineStr">
        <is>
          <t>팀장 학번</t>
        </is>
      </c>
      <c r="D4" s="3" t="inlineStr">
        <is>
          <t>팀장 이메일</t>
        </is>
      </c>
      <c r="E4" s="3" t="inlineStr">
        <is>
          <t>프로젝트 분량(분)</t>
        </is>
      </c>
      <c r="F4" s="3" t="inlineStr">
        <is>
          <t>라이선스</t>
        </is>
      </c>
      <c r="G4" s="3" t="inlineStr">
        <is>
          <t>주 타임블럭</t>
        </is>
      </c>
      <c r="H4" s="3" t="inlineStr">
        <is>
          <t>주 사용시간</t>
        </is>
      </c>
      <c r="I4" s="3" t="inlineStr">
        <is>
          <t>신청일</t>
        </is>
      </c>
      <c r="J4" s="3" t="inlineStr">
        <is>
          <t>비고</t>
        </is>
      </c>
    </row>
    <row r="5">
      <c r="A5" s="4" t="n">
        <v>1</v>
      </c>
      <c r="B5" s="5" t="n"/>
      <c r="C5" s="4" t="n"/>
      <c r="D5" s="5" t="n"/>
      <c r="E5" s="4" t="n"/>
      <c r="F5" s="6">
        <f>IF(E5="","",IF(E5&lt;=3,1,IF(E5&lt;=6,2,3)))</f>
        <v/>
      </c>
      <c r="G5" s="6">
        <f>IF(F5="","",F5*8)</f>
        <v/>
      </c>
      <c r="H5" s="6">
        <f>IF(G5="","",G5*4)</f>
        <v/>
      </c>
      <c r="I5" s="4" t="n"/>
      <c r="J5" s="5" t="n"/>
    </row>
    <row r="6">
      <c r="A6" s="7" t="n">
        <v>2</v>
      </c>
      <c r="B6" s="8" t="n"/>
      <c r="C6" s="7" t="n"/>
      <c r="D6" s="8" t="n"/>
      <c r="E6" s="7" t="n"/>
      <c r="F6" s="6">
        <f>IF(E6="","",IF(E6&lt;=3,1,IF(E6&lt;=6,2,3)))</f>
        <v/>
      </c>
      <c r="G6" s="6">
        <f>IF(F6="","",F6*8)</f>
        <v/>
      </c>
      <c r="H6" s="6">
        <f>IF(G6="","",G6*4)</f>
        <v/>
      </c>
      <c r="I6" s="7" t="n"/>
      <c r="J6" s="8" t="n"/>
    </row>
    <row r="7">
      <c r="A7" s="4" t="n">
        <v>3</v>
      </c>
      <c r="B7" s="5" t="n"/>
      <c r="C7" s="4" t="n"/>
      <c r="D7" s="5" t="n"/>
      <c r="E7" s="4" t="n"/>
      <c r="F7" s="6">
        <f>IF(E7="","",IF(E7&lt;=3,1,IF(E7&lt;=6,2,3)))</f>
        <v/>
      </c>
      <c r="G7" s="6">
        <f>IF(F7="","",F7*8)</f>
        <v/>
      </c>
      <c r="H7" s="6">
        <f>IF(G7="","",G7*4)</f>
        <v/>
      </c>
      <c r="I7" s="4" t="n"/>
      <c r="J7" s="5" t="n"/>
    </row>
    <row r="8">
      <c r="A8" s="7" t="n">
        <v>4</v>
      </c>
      <c r="B8" s="8" t="n"/>
      <c r="C8" s="7" t="n"/>
      <c r="D8" s="8" t="n"/>
      <c r="E8" s="7" t="n"/>
      <c r="F8" s="6">
        <f>IF(E8="","",IF(E8&lt;=3,1,IF(E8&lt;=6,2,3)))</f>
        <v/>
      </c>
      <c r="G8" s="6">
        <f>IF(F8="","",F8*8)</f>
        <v/>
      </c>
      <c r="H8" s="6">
        <f>IF(G8="","",G8*4)</f>
        <v/>
      </c>
      <c r="I8" s="7" t="n"/>
      <c r="J8" s="8" t="n"/>
    </row>
    <row r="9">
      <c r="A9" s="4" t="n">
        <v>5</v>
      </c>
      <c r="B9" s="5" t="n"/>
      <c r="C9" s="4" t="n"/>
      <c r="D9" s="5" t="n"/>
      <c r="E9" s="4" t="n"/>
      <c r="F9" s="6">
        <f>IF(E9="","",IF(E9&lt;=3,1,IF(E9&lt;=6,2,3)))</f>
        <v/>
      </c>
      <c r="G9" s="6">
        <f>IF(F9="","",F9*8)</f>
        <v/>
      </c>
      <c r="H9" s="6">
        <f>IF(G9="","",G9*4)</f>
        <v/>
      </c>
      <c r="I9" s="4" t="n"/>
      <c r="J9" s="5" t="n"/>
    </row>
    <row r="10">
      <c r="A10" s="7" t="n">
        <v>6</v>
      </c>
      <c r="B10" s="8" t="n"/>
      <c r="C10" s="7" t="n"/>
      <c r="D10" s="8" t="n"/>
      <c r="E10" s="7" t="n"/>
      <c r="F10" s="6">
        <f>IF(E10="","",IF(E10&lt;=3,1,IF(E10&lt;=6,2,3)))</f>
        <v/>
      </c>
      <c r="G10" s="6">
        <f>IF(F10="","",F10*8)</f>
        <v/>
      </c>
      <c r="H10" s="6">
        <f>IF(G10="","",G10*4)</f>
        <v/>
      </c>
      <c r="I10" s="7" t="n"/>
      <c r="J10" s="8" t="n"/>
    </row>
    <row r="11">
      <c r="A11" s="4" t="n">
        <v>7</v>
      </c>
      <c r="B11" s="5" t="n"/>
      <c r="C11" s="4" t="n"/>
      <c r="D11" s="5" t="n"/>
      <c r="E11" s="4" t="n"/>
      <c r="F11" s="6">
        <f>IF(E11="","",IF(E11&lt;=3,1,IF(E11&lt;=6,2,3)))</f>
        <v/>
      </c>
      <c r="G11" s="6">
        <f>IF(F11="","",F11*8)</f>
        <v/>
      </c>
      <c r="H11" s="6">
        <f>IF(G11="","",G11*4)</f>
        <v/>
      </c>
      <c r="I11" s="4" t="n"/>
      <c r="J11" s="5" t="n"/>
    </row>
    <row r="12">
      <c r="A12" s="7" t="n">
        <v>8</v>
      </c>
      <c r="B12" s="8" t="n"/>
      <c r="C12" s="7" t="n"/>
      <c r="D12" s="8" t="n"/>
      <c r="E12" s="7" t="n"/>
      <c r="F12" s="6">
        <f>IF(E12="","",IF(E12&lt;=3,1,IF(E12&lt;=6,2,3)))</f>
        <v/>
      </c>
      <c r="G12" s="6">
        <f>IF(F12="","",F12*8)</f>
        <v/>
      </c>
      <c r="H12" s="6">
        <f>IF(G12="","",G12*4)</f>
        <v/>
      </c>
      <c r="I12" s="7" t="n"/>
      <c r="J12" s="8" t="n"/>
    </row>
    <row r="13">
      <c r="A13" s="4" t="n">
        <v>9</v>
      </c>
      <c r="B13" s="5" t="n"/>
      <c r="C13" s="4" t="n"/>
      <c r="D13" s="5" t="n"/>
      <c r="E13" s="4" t="n"/>
      <c r="F13" s="6">
        <f>IF(E13="","",IF(E13&lt;=3,1,IF(E13&lt;=6,2,3)))</f>
        <v/>
      </c>
      <c r="G13" s="6">
        <f>IF(F13="","",F13*8)</f>
        <v/>
      </c>
      <c r="H13" s="6">
        <f>IF(G13="","",G13*4)</f>
        <v/>
      </c>
      <c r="I13" s="4" t="n"/>
      <c r="J13" s="5" t="n"/>
    </row>
    <row r="14">
      <c r="A14" s="7" t="n">
        <v>10</v>
      </c>
      <c r="B14" s="8" t="n"/>
      <c r="C14" s="7" t="n"/>
      <c r="D14" s="8" t="n"/>
      <c r="E14" s="7" t="n"/>
      <c r="F14" s="6">
        <f>IF(E14="","",IF(E14&lt;=3,1,IF(E14&lt;=6,2,3)))</f>
        <v/>
      </c>
      <c r="G14" s="6">
        <f>IF(F14="","",F14*8)</f>
        <v/>
      </c>
      <c r="H14" s="6">
        <f>IF(G14="","",G14*4)</f>
        <v/>
      </c>
      <c r="I14" s="7" t="n"/>
      <c r="J14" s="8" t="n"/>
    </row>
    <row r="15">
      <c r="A15" s="4" t="n">
        <v>11</v>
      </c>
      <c r="B15" s="5" t="n"/>
      <c r="C15" s="4" t="n"/>
      <c r="D15" s="5" t="n"/>
      <c r="E15" s="4" t="n"/>
      <c r="F15" s="6">
        <f>IF(E15="","",IF(E15&lt;=3,1,IF(E15&lt;=6,2,3)))</f>
        <v/>
      </c>
      <c r="G15" s="6">
        <f>IF(F15="","",F15*8)</f>
        <v/>
      </c>
      <c r="H15" s="6">
        <f>IF(G15="","",G15*4)</f>
        <v/>
      </c>
      <c r="I15" s="4" t="n"/>
      <c r="J15" s="5" t="n"/>
    </row>
    <row r="16">
      <c r="A16" s="7" t="n">
        <v>12</v>
      </c>
      <c r="B16" s="8" t="n"/>
      <c r="C16" s="7" t="n"/>
      <c r="D16" s="8" t="n"/>
      <c r="E16" s="7" t="n"/>
      <c r="F16" s="6">
        <f>IF(E16="","",IF(E16&lt;=3,1,IF(E16&lt;=6,2,3)))</f>
        <v/>
      </c>
      <c r="G16" s="6">
        <f>IF(F16="","",F16*8)</f>
        <v/>
      </c>
      <c r="H16" s="6">
        <f>IF(G16="","",G16*4)</f>
        <v/>
      </c>
      <c r="I16" s="7" t="n"/>
      <c r="J16" s="8" t="n"/>
    </row>
    <row r="17">
      <c r="A17" s="4" t="n">
        <v>13</v>
      </c>
      <c r="B17" s="5" t="n"/>
      <c r="C17" s="4" t="n"/>
      <c r="D17" s="5" t="n"/>
      <c r="E17" s="4" t="n"/>
      <c r="F17" s="6">
        <f>IF(E17="","",IF(E17&lt;=3,1,IF(E17&lt;=6,2,3)))</f>
        <v/>
      </c>
      <c r="G17" s="6">
        <f>IF(F17="","",F17*8)</f>
        <v/>
      </c>
      <c r="H17" s="6">
        <f>IF(G17="","",G17*4)</f>
        <v/>
      </c>
      <c r="I17" s="4" t="n"/>
      <c r="J17" s="5" t="n"/>
    </row>
    <row r="18">
      <c r="A18" s="7" t="n">
        <v>14</v>
      </c>
      <c r="B18" s="8" t="n"/>
      <c r="C18" s="7" t="n"/>
      <c r="D18" s="8" t="n"/>
      <c r="E18" s="7" t="n"/>
      <c r="F18" s="6">
        <f>IF(E18="","",IF(E18&lt;=3,1,IF(E18&lt;=6,2,3)))</f>
        <v/>
      </c>
      <c r="G18" s="6">
        <f>IF(F18="","",F18*8)</f>
        <v/>
      </c>
      <c r="H18" s="6">
        <f>IF(G18="","",G18*4)</f>
        <v/>
      </c>
      <c r="I18" s="7" t="n"/>
      <c r="J18" s="8" t="n"/>
    </row>
    <row r="19">
      <c r="A19" s="4" t="n">
        <v>15</v>
      </c>
      <c r="B19" s="5" t="n"/>
      <c r="C19" s="4" t="n"/>
      <c r="D19" s="5" t="n"/>
      <c r="E19" s="4" t="n"/>
      <c r="F19" s="6">
        <f>IF(E19="","",IF(E19&lt;=3,1,IF(E19&lt;=6,2,3)))</f>
        <v/>
      </c>
      <c r="G19" s="6">
        <f>IF(F19="","",F19*8)</f>
        <v/>
      </c>
      <c r="H19" s="6">
        <f>IF(G19="","",G19*4)</f>
        <v/>
      </c>
      <c r="I19" s="4" t="n"/>
      <c r="J19" s="5" t="n"/>
    </row>
    <row r="20">
      <c r="A20" s="7" t="n">
        <v>16</v>
      </c>
      <c r="B20" s="8" t="n"/>
      <c r="C20" s="7" t="n"/>
      <c r="D20" s="8" t="n"/>
      <c r="E20" s="7" t="n"/>
      <c r="F20" s="6">
        <f>IF(E20="","",IF(E20&lt;=3,1,IF(E20&lt;=6,2,3)))</f>
        <v/>
      </c>
      <c r="G20" s="6">
        <f>IF(F20="","",F20*8)</f>
        <v/>
      </c>
      <c r="H20" s="6">
        <f>IF(G20="","",G20*4)</f>
        <v/>
      </c>
      <c r="I20" s="7" t="n"/>
      <c r="J20" s="8" t="n"/>
    </row>
    <row r="21">
      <c r="A21" s="4" t="n">
        <v>17</v>
      </c>
      <c r="B21" s="5" t="n"/>
      <c r="C21" s="4" t="n"/>
      <c r="D21" s="5" t="n"/>
      <c r="E21" s="4" t="n"/>
      <c r="F21" s="6">
        <f>IF(E21="","",IF(E21&lt;=3,1,IF(E21&lt;=6,2,3)))</f>
        <v/>
      </c>
      <c r="G21" s="6">
        <f>IF(F21="","",F21*8)</f>
        <v/>
      </c>
      <c r="H21" s="6">
        <f>IF(G21="","",G21*4)</f>
        <v/>
      </c>
      <c r="I21" s="4" t="n"/>
      <c r="J21" s="5" t="n"/>
    </row>
    <row r="22">
      <c r="A22" s="7" t="n">
        <v>18</v>
      </c>
      <c r="B22" s="8" t="n"/>
      <c r="C22" s="7" t="n"/>
      <c r="D22" s="8" t="n"/>
      <c r="E22" s="7" t="n"/>
      <c r="F22" s="6">
        <f>IF(E22="","",IF(E22&lt;=3,1,IF(E22&lt;=6,2,3)))</f>
        <v/>
      </c>
      <c r="G22" s="6">
        <f>IF(F22="","",F22*8)</f>
        <v/>
      </c>
      <c r="H22" s="6">
        <f>IF(G22="","",G22*4)</f>
        <v/>
      </c>
      <c r="I22" s="7" t="n"/>
      <c r="J22" s="8" t="n"/>
    </row>
    <row r="23">
      <c r="A23" s="4" t="n">
        <v>19</v>
      </c>
      <c r="B23" s="5" t="n"/>
      <c r="C23" s="4" t="n"/>
      <c r="D23" s="5" t="n"/>
      <c r="E23" s="4" t="n"/>
      <c r="F23" s="6">
        <f>IF(E23="","",IF(E23&lt;=3,1,IF(E23&lt;=6,2,3)))</f>
        <v/>
      </c>
      <c r="G23" s="6">
        <f>IF(F23="","",F23*8)</f>
        <v/>
      </c>
      <c r="H23" s="6">
        <f>IF(G23="","",G23*4)</f>
        <v/>
      </c>
      <c r="I23" s="4" t="n"/>
      <c r="J23" s="5" t="n"/>
    </row>
    <row r="24">
      <c r="A24" s="7" t="n">
        <v>20</v>
      </c>
      <c r="B24" s="8" t="n"/>
      <c r="C24" s="7" t="n"/>
      <c r="D24" s="8" t="n"/>
      <c r="E24" s="7" t="n"/>
      <c r="F24" s="6">
        <f>IF(E24="","",IF(E24&lt;=3,1,IF(E24&lt;=6,2,3)))</f>
        <v/>
      </c>
      <c r="G24" s="6">
        <f>IF(F24="","",F24*8)</f>
        <v/>
      </c>
      <c r="H24" s="6">
        <f>IF(G24="","",G24*4)</f>
        <v/>
      </c>
      <c r="I24" s="7" t="n"/>
      <c r="J24" s="8" t="n"/>
    </row>
    <row r="25">
      <c r="A25" s="4" t="n">
        <v>21</v>
      </c>
      <c r="B25" s="5" t="n"/>
      <c r="C25" s="4" t="n"/>
      <c r="D25" s="5" t="n"/>
      <c r="E25" s="4" t="n"/>
      <c r="F25" s="6">
        <f>IF(E25="","",IF(E25&lt;=3,1,IF(E25&lt;=6,2,3)))</f>
        <v/>
      </c>
      <c r="G25" s="6">
        <f>IF(F25="","",F25*8)</f>
        <v/>
      </c>
      <c r="H25" s="6">
        <f>IF(G25="","",G25*4)</f>
        <v/>
      </c>
      <c r="I25" s="4" t="n"/>
      <c r="J25" s="5" t="n"/>
    </row>
    <row r="26">
      <c r="A26" s="7" t="n">
        <v>22</v>
      </c>
      <c r="B26" s="8" t="n"/>
      <c r="C26" s="7" t="n"/>
      <c r="D26" s="8" t="n"/>
      <c r="E26" s="7" t="n"/>
      <c r="F26" s="6">
        <f>IF(E26="","",IF(E26&lt;=3,1,IF(E26&lt;=6,2,3)))</f>
        <v/>
      </c>
      <c r="G26" s="6">
        <f>IF(F26="","",F26*8)</f>
        <v/>
      </c>
      <c r="H26" s="6">
        <f>IF(G26="","",G26*4)</f>
        <v/>
      </c>
      <c r="I26" s="7" t="n"/>
      <c r="J26" s="8" t="n"/>
    </row>
    <row r="27">
      <c r="A27" s="4" t="n">
        <v>23</v>
      </c>
      <c r="B27" s="5" t="n"/>
      <c r="C27" s="4" t="n"/>
      <c r="D27" s="5" t="n"/>
      <c r="E27" s="4" t="n"/>
      <c r="F27" s="6">
        <f>IF(E27="","",IF(E27&lt;=3,1,IF(E27&lt;=6,2,3)))</f>
        <v/>
      </c>
      <c r="G27" s="6">
        <f>IF(F27="","",F27*8)</f>
        <v/>
      </c>
      <c r="H27" s="6">
        <f>IF(G27="","",G27*4)</f>
        <v/>
      </c>
      <c r="I27" s="4" t="n"/>
      <c r="J27" s="5" t="n"/>
    </row>
    <row r="28">
      <c r="A28" s="7" t="n">
        <v>24</v>
      </c>
      <c r="B28" s="8" t="n"/>
      <c r="C28" s="7" t="n"/>
      <c r="D28" s="8" t="n"/>
      <c r="E28" s="7" t="n"/>
      <c r="F28" s="6">
        <f>IF(E28="","",IF(E28&lt;=3,1,IF(E28&lt;=6,2,3)))</f>
        <v/>
      </c>
      <c r="G28" s="6">
        <f>IF(F28="","",F28*8)</f>
        <v/>
      </c>
      <c r="H28" s="6">
        <f>IF(G28="","",G28*4)</f>
        <v/>
      </c>
      <c r="I28" s="7" t="n"/>
      <c r="J28" s="8" t="n"/>
    </row>
    <row r="29">
      <c r="A29" s="4" t="n">
        <v>25</v>
      </c>
      <c r="B29" s="5" t="n"/>
      <c r="C29" s="4" t="n"/>
      <c r="D29" s="5" t="n"/>
      <c r="E29" s="4" t="n"/>
      <c r="F29" s="6">
        <f>IF(E29="","",IF(E29&lt;=3,1,IF(E29&lt;=6,2,3)))</f>
        <v/>
      </c>
      <c r="G29" s="6">
        <f>IF(F29="","",F29*8)</f>
        <v/>
      </c>
      <c r="H29" s="6">
        <f>IF(G29="","",G29*4)</f>
        <v/>
      </c>
      <c r="I29" s="4" t="n"/>
      <c r="J29" s="5" t="n"/>
    </row>
    <row r="30">
      <c r="A30" s="7" t="n">
        <v>26</v>
      </c>
      <c r="B30" s="8" t="n"/>
      <c r="C30" s="7" t="n"/>
      <c r="D30" s="8" t="n"/>
      <c r="E30" s="7" t="n"/>
      <c r="F30" s="6">
        <f>IF(E30="","",IF(E30&lt;=3,1,IF(E30&lt;=6,2,3)))</f>
        <v/>
      </c>
      <c r="G30" s="6">
        <f>IF(F30="","",F30*8)</f>
        <v/>
      </c>
      <c r="H30" s="6">
        <f>IF(G30="","",G30*4)</f>
        <v/>
      </c>
      <c r="I30" s="7" t="n"/>
      <c r="J30" s="8" t="n"/>
    </row>
    <row r="31">
      <c r="A31" s="4" t="n">
        <v>27</v>
      </c>
      <c r="B31" s="5" t="n"/>
      <c r="C31" s="4" t="n"/>
      <c r="D31" s="5" t="n"/>
      <c r="E31" s="4" t="n"/>
      <c r="F31" s="6">
        <f>IF(E31="","",IF(E31&lt;=3,1,IF(E31&lt;=6,2,3)))</f>
        <v/>
      </c>
      <c r="G31" s="6">
        <f>IF(F31="","",F31*8)</f>
        <v/>
      </c>
      <c r="H31" s="6">
        <f>IF(G31="","",G31*4)</f>
        <v/>
      </c>
      <c r="I31" s="4" t="n"/>
      <c r="J31" s="5" t="n"/>
    </row>
    <row r="32">
      <c r="A32" s="7" t="n">
        <v>28</v>
      </c>
      <c r="B32" s="8" t="n"/>
      <c r="C32" s="7" t="n"/>
      <c r="D32" s="8" t="n"/>
      <c r="E32" s="7" t="n"/>
      <c r="F32" s="6">
        <f>IF(E32="","",IF(E32&lt;=3,1,IF(E32&lt;=6,2,3)))</f>
        <v/>
      </c>
      <c r="G32" s="6">
        <f>IF(F32="","",F32*8)</f>
        <v/>
      </c>
      <c r="H32" s="6">
        <f>IF(G32="","",G32*4)</f>
        <v/>
      </c>
      <c r="I32" s="7" t="n"/>
      <c r="J32" s="8" t="n"/>
    </row>
    <row r="33">
      <c r="A33" s="4" t="n">
        <v>29</v>
      </c>
      <c r="B33" s="5" t="n"/>
      <c r="C33" s="4" t="n"/>
      <c r="D33" s="5" t="n"/>
      <c r="E33" s="4" t="n"/>
      <c r="F33" s="6">
        <f>IF(E33="","",IF(E33&lt;=3,1,IF(E33&lt;=6,2,3)))</f>
        <v/>
      </c>
      <c r="G33" s="6">
        <f>IF(F33="","",F33*8)</f>
        <v/>
      </c>
      <c r="H33" s="6">
        <f>IF(G33="","",G33*4)</f>
        <v/>
      </c>
      <c r="I33" s="4" t="n"/>
      <c r="J33" s="5" t="n"/>
    </row>
    <row r="34">
      <c r="A34" s="7" t="n">
        <v>30</v>
      </c>
      <c r="B34" s="8" t="n"/>
      <c r="C34" s="7" t="n"/>
      <c r="D34" s="8" t="n"/>
      <c r="E34" s="7" t="n"/>
      <c r="F34" s="6">
        <f>IF(E34="","",IF(E34&lt;=3,1,IF(E34&lt;=6,2,3)))</f>
        <v/>
      </c>
      <c r="G34" s="6">
        <f>IF(F34="","",F34*8)</f>
        <v/>
      </c>
      <c r="H34" s="6">
        <f>IF(G34="","",G34*4)</f>
        <v/>
      </c>
      <c r="I34" s="7" t="n"/>
      <c r="J34" s="8" t="n"/>
    </row>
    <row r="36">
      <c r="B36" s="9" t="inlineStr">
        <is>
          <t>합계</t>
        </is>
      </c>
      <c r="F36" s="10">
        <f>SUM(F5:F34)</f>
        <v/>
      </c>
      <c r="G36" s="11">
        <f>SUM(G5:G34)</f>
        <v/>
      </c>
      <c r="H36" s="10">
        <f>SUM(H5:H34)</f>
        <v/>
      </c>
    </row>
    <row r="37">
      <c r="B37" s="12">
        <f>IF(G36="","",IF(G36&lt;=128,"수용 가능  —  주간 공급 128블럭 중 "&amp;G36&amp;"블럭 신청","초과  —  주간 공급 128블럭보다 "&amp;(G36-128)&amp;"블럭 많습니다. 산정 기준 조정 필요"))</f>
        <v/>
      </c>
    </row>
    <row r="39">
      <c r="B39" s="13" t="inlineStr"/>
      <c r="C39" s="2" t="inlineStr"/>
    </row>
    <row r="40">
      <c r="B40" s="12" t="inlineStr">
        <is>
          <t>분량 → 라이선스 산정 기준</t>
        </is>
      </c>
      <c r="C40" s="2" t="inlineStr"/>
    </row>
    <row r="41">
      <c r="B41" s="13" t="inlineStr">
        <is>
          <t>3분 이하</t>
        </is>
      </c>
      <c r="C41" s="2" t="inlineStr">
        <is>
          <t>라이선스 1  ·  주 8블럭  ·  32시간</t>
        </is>
      </c>
    </row>
    <row r="42">
      <c r="B42" s="13" t="inlineStr">
        <is>
          <t>3분 초과 ~ 6분 이하</t>
        </is>
      </c>
      <c r="C42" s="2" t="inlineStr">
        <is>
          <t>라이선스 2  ·  주 16블럭  ·  64시간</t>
        </is>
      </c>
    </row>
    <row r="43">
      <c r="B43" s="13" t="inlineStr">
        <is>
          <t>6분 초과</t>
        </is>
      </c>
      <c r="C43" s="2" t="inlineStr">
        <is>
          <t>라이선스 3  ·  주 24블럭  ·  96시간</t>
        </is>
      </c>
    </row>
    <row r="44">
      <c r="B44" s="13" t="inlineStr"/>
      <c r="C44" s="2" t="inlineStr"/>
    </row>
    <row r="45">
      <c r="B45" s="12" t="inlineStr">
        <is>
          <t>주간 공급량</t>
        </is>
      </c>
      <c r="C45" s="2" t="inlineStr">
        <is>
          <t>평일 5일×4블럭×4그룹 = 80  +  주말 2일×6블럭×4그룹 = 48  →  총 128블럭</t>
        </is>
      </c>
    </row>
  </sheetData>
  <conditionalFormatting sqref="G36">
    <cfRule type="cellIs" priority="1" operator="greaterThan" dxfId="0">
      <formula>128</formula>
    </cfRule>
  </conditionalFormatting>
  <dataValidations count="1">
    <dataValidation sqref="E5:E34" showDropDown="0" showInputMessage="0" showErrorMessage="1" allowBlank="0" errorTitle="분량 확인" error="프로젝트 분량을 분 단위 숫자로 입력하세요. (예: 4.5)" type="decimal" operator="between">
      <formula1>0.1</formula1>
      <formula2>60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6" customHeight="1">
      <c r="A1" s="1" t="inlineStr">
        <is>
          <t>예약표</t>
        </is>
      </c>
    </row>
    <row r="2">
      <c r="A2" s="2" t="inlineStr">
        <is>
          <t>빈 칸에 본인 학번을 입력하세요.  회색 칸은 수업 시간이라 사용할 수 없습니다.  제출할 때 반드시 예약한 그룹을 지정하세요.</t>
        </is>
      </c>
    </row>
    <row r="4" ht="22" customHeight="1">
      <c r="A4" s="14" t="inlineStr">
        <is>
          <t>1주차   10/19 ~ 10/25</t>
        </is>
      </c>
    </row>
    <row r="5" ht="30" customHeight="1">
      <c r="A5" s="3" t="inlineStr">
        <is>
          <t>주차</t>
        </is>
      </c>
      <c r="B5" s="3" t="inlineStr">
        <is>
          <t>타임블럭</t>
        </is>
      </c>
      <c r="C5" s="3" t="inlineStr">
        <is>
          <t>그룹</t>
        </is>
      </c>
      <c r="D5" s="3" t="inlineStr">
        <is>
          <t>월
10/19</t>
        </is>
      </c>
      <c r="E5" s="3" t="inlineStr">
        <is>
          <t>화
10/20</t>
        </is>
      </c>
      <c r="F5" s="3" t="inlineStr">
        <is>
          <t>수
10/21</t>
        </is>
      </c>
      <c r="G5" s="3" t="inlineStr">
        <is>
          <t>목
10/22</t>
        </is>
      </c>
      <c r="H5" s="3" t="inlineStr">
        <is>
          <t>금
10/23</t>
        </is>
      </c>
      <c r="I5" s="3" t="inlineStr">
        <is>
          <t>토
10/24</t>
        </is>
      </c>
      <c r="J5" s="3" t="inlineStr">
        <is>
          <t>일
10/25</t>
        </is>
      </c>
    </row>
    <row r="6" ht="19" customHeight="1">
      <c r="A6" s="15" t="inlineStr">
        <is>
          <t>1주</t>
        </is>
      </c>
      <c r="B6" s="16" t="inlineStr">
        <is>
          <t>19:00-23:00</t>
        </is>
      </c>
      <c r="C6" s="17" t="inlineStr">
        <is>
          <t>A</t>
        </is>
      </c>
      <c r="D6" s="4" t="n"/>
      <c r="E6" s="4" t="n"/>
      <c r="F6" s="4" t="n"/>
      <c r="G6" s="4" t="n"/>
      <c r="H6" s="4" t="n"/>
      <c r="I6" s="4" t="n"/>
      <c r="J6" s="4" t="n"/>
    </row>
    <row r="7" ht="19" customHeight="1">
      <c r="A7" s="15" t="inlineStr">
        <is>
          <t>1주</t>
        </is>
      </c>
      <c r="B7" s="16" t="inlineStr"/>
      <c r="C7" s="18" t="inlineStr">
        <is>
          <t>B</t>
        </is>
      </c>
      <c r="D7" s="4" t="n"/>
      <c r="E7" s="4" t="n"/>
      <c r="F7" s="4" t="n"/>
      <c r="G7" s="4" t="n"/>
      <c r="H7" s="4" t="n"/>
      <c r="I7" s="4" t="n"/>
      <c r="J7" s="4" t="n"/>
    </row>
    <row r="8" ht="19" customHeight="1">
      <c r="A8" s="15" t="inlineStr">
        <is>
          <t>1주</t>
        </is>
      </c>
      <c r="B8" s="16" t="inlineStr"/>
      <c r="C8" s="19" t="inlineStr">
        <is>
          <t>C</t>
        </is>
      </c>
      <c r="D8" s="4" t="n"/>
      <c r="E8" s="4" t="n"/>
      <c r="F8" s="4" t="n"/>
      <c r="G8" s="4" t="n"/>
      <c r="H8" s="4" t="n"/>
      <c r="I8" s="4" t="n"/>
      <c r="J8" s="4" t="n"/>
    </row>
    <row r="9" ht="19" customHeight="1">
      <c r="A9" s="15" t="inlineStr">
        <is>
          <t>1주</t>
        </is>
      </c>
      <c r="B9" s="16" t="inlineStr"/>
      <c r="C9" s="20" t="inlineStr">
        <is>
          <t>D</t>
        </is>
      </c>
      <c r="D9" s="4" t="n"/>
      <c r="E9" s="4" t="n"/>
      <c r="F9" s="4" t="n"/>
      <c r="G9" s="4" t="n"/>
      <c r="H9" s="4" t="n"/>
      <c r="I9" s="4" t="n"/>
      <c r="J9" s="4" t="n"/>
    </row>
    <row r="10" ht="19" customHeight="1">
      <c r="A10" s="15" t="inlineStr">
        <is>
          <t>1주</t>
        </is>
      </c>
      <c r="B10" s="16" t="inlineStr">
        <is>
          <t>23:00-03:00</t>
        </is>
      </c>
      <c r="C10" s="17" t="inlineStr">
        <is>
          <t>A</t>
        </is>
      </c>
      <c r="D10" s="21" t="n"/>
      <c r="E10" s="21" t="n"/>
      <c r="F10" s="21" t="n"/>
      <c r="G10" s="21" t="n"/>
      <c r="H10" s="21" t="n"/>
      <c r="I10" s="21" t="n"/>
      <c r="J10" s="21" t="n"/>
    </row>
    <row r="11" ht="19" customHeight="1">
      <c r="A11" s="15" t="inlineStr">
        <is>
          <t>1주</t>
        </is>
      </c>
      <c r="B11" s="16" t="inlineStr"/>
      <c r="C11" s="18" t="inlineStr">
        <is>
          <t>B</t>
        </is>
      </c>
      <c r="D11" s="21" t="n"/>
      <c r="E11" s="21" t="n"/>
      <c r="F11" s="21" t="n"/>
      <c r="G11" s="21" t="n"/>
      <c r="H11" s="21" t="n"/>
      <c r="I11" s="21" t="n"/>
      <c r="J11" s="21" t="n"/>
    </row>
    <row r="12" ht="19" customHeight="1">
      <c r="A12" s="15" t="inlineStr">
        <is>
          <t>1주</t>
        </is>
      </c>
      <c r="B12" s="16" t="inlineStr"/>
      <c r="C12" s="19" t="inlineStr">
        <is>
          <t>C</t>
        </is>
      </c>
      <c r="D12" s="21" t="n"/>
      <c r="E12" s="21" t="n"/>
      <c r="F12" s="21" t="n"/>
      <c r="G12" s="21" t="n"/>
      <c r="H12" s="21" t="n"/>
      <c r="I12" s="21" t="n"/>
      <c r="J12" s="21" t="n"/>
    </row>
    <row r="13" ht="19" customHeight="1">
      <c r="A13" s="15" t="inlineStr">
        <is>
          <t>1주</t>
        </is>
      </c>
      <c r="B13" s="16" t="inlineStr"/>
      <c r="C13" s="20" t="inlineStr">
        <is>
          <t>D</t>
        </is>
      </c>
      <c r="D13" s="21" t="n"/>
      <c r="E13" s="21" t="n"/>
      <c r="F13" s="21" t="n"/>
      <c r="G13" s="21" t="n"/>
      <c r="H13" s="21" t="n"/>
      <c r="I13" s="21" t="n"/>
      <c r="J13" s="21" t="n"/>
    </row>
    <row r="14" ht="19" customHeight="1">
      <c r="A14" s="15" t="inlineStr">
        <is>
          <t>1주</t>
        </is>
      </c>
      <c r="B14" s="16" t="inlineStr">
        <is>
          <t>03:00-07:00</t>
        </is>
      </c>
      <c r="C14" s="17" t="inlineStr">
        <is>
          <t>A</t>
        </is>
      </c>
      <c r="D14" s="21" t="n"/>
      <c r="E14" s="21" t="n"/>
      <c r="F14" s="21" t="n"/>
      <c r="G14" s="21" t="n"/>
      <c r="H14" s="21" t="n"/>
      <c r="I14" s="21" t="n"/>
      <c r="J14" s="21" t="n"/>
    </row>
    <row r="15" ht="19" customHeight="1">
      <c r="A15" s="15" t="inlineStr">
        <is>
          <t>1주</t>
        </is>
      </c>
      <c r="B15" s="16" t="inlineStr"/>
      <c r="C15" s="18" t="inlineStr">
        <is>
          <t>B</t>
        </is>
      </c>
      <c r="D15" s="21" t="n"/>
      <c r="E15" s="21" t="n"/>
      <c r="F15" s="21" t="n"/>
      <c r="G15" s="21" t="n"/>
      <c r="H15" s="21" t="n"/>
      <c r="I15" s="21" t="n"/>
      <c r="J15" s="21" t="n"/>
    </row>
    <row r="16" ht="19" customHeight="1">
      <c r="A16" s="15" t="inlineStr">
        <is>
          <t>1주</t>
        </is>
      </c>
      <c r="B16" s="16" t="inlineStr"/>
      <c r="C16" s="19" t="inlineStr">
        <is>
          <t>C</t>
        </is>
      </c>
      <c r="D16" s="21" t="n"/>
      <c r="E16" s="21" t="n"/>
      <c r="F16" s="21" t="n"/>
      <c r="G16" s="21" t="n"/>
      <c r="H16" s="21" t="n"/>
      <c r="I16" s="21" t="n"/>
      <c r="J16" s="21" t="n"/>
    </row>
    <row r="17" ht="19" customHeight="1">
      <c r="A17" s="15" t="inlineStr">
        <is>
          <t>1주</t>
        </is>
      </c>
      <c r="B17" s="16" t="inlineStr"/>
      <c r="C17" s="20" t="inlineStr">
        <is>
          <t>D</t>
        </is>
      </c>
      <c r="D17" s="21" t="n"/>
      <c r="E17" s="21" t="n"/>
      <c r="F17" s="21" t="n"/>
      <c r="G17" s="21" t="n"/>
      <c r="H17" s="21" t="n"/>
      <c r="I17" s="21" t="n"/>
      <c r="J17" s="21" t="n"/>
    </row>
    <row r="18" ht="19" customHeight="1">
      <c r="A18" s="15" t="inlineStr">
        <is>
          <t>1주</t>
        </is>
      </c>
      <c r="B18" s="16" t="inlineStr">
        <is>
          <t>07:00-11:00</t>
        </is>
      </c>
      <c r="C18" s="17" t="inlineStr">
        <is>
          <t>A</t>
        </is>
      </c>
      <c r="D18" s="4" t="n"/>
      <c r="E18" s="4" t="n"/>
      <c r="F18" s="4" t="n"/>
      <c r="G18" s="4" t="n"/>
      <c r="H18" s="4" t="n"/>
      <c r="I18" s="4" t="n"/>
      <c r="J18" s="4" t="n"/>
    </row>
    <row r="19" ht="19" customHeight="1">
      <c r="A19" s="15" t="inlineStr">
        <is>
          <t>1주</t>
        </is>
      </c>
      <c r="B19" s="16" t="inlineStr"/>
      <c r="C19" s="18" t="inlineStr">
        <is>
          <t>B</t>
        </is>
      </c>
      <c r="D19" s="4" t="n"/>
      <c r="E19" s="4" t="n"/>
      <c r="F19" s="4" t="n"/>
      <c r="G19" s="4" t="n"/>
      <c r="H19" s="4" t="n"/>
      <c r="I19" s="4" t="n"/>
      <c r="J19" s="4" t="n"/>
    </row>
    <row r="20" ht="19" customHeight="1">
      <c r="A20" s="15" t="inlineStr">
        <is>
          <t>1주</t>
        </is>
      </c>
      <c r="B20" s="16" t="inlineStr"/>
      <c r="C20" s="19" t="inlineStr">
        <is>
          <t>C</t>
        </is>
      </c>
      <c r="D20" s="4" t="n"/>
      <c r="E20" s="4" t="n"/>
      <c r="F20" s="4" t="n"/>
      <c r="G20" s="4" t="n"/>
      <c r="H20" s="4" t="n"/>
      <c r="I20" s="4" t="n"/>
      <c r="J20" s="4" t="n"/>
    </row>
    <row r="21" ht="19" customHeight="1">
      <c r="A21" s="15" t="inlineStr">
        <is>
          <t>1주</t>
        </is>
      </c>
      <c r="B21" s="16" t="inlineStr"/>
      <c r="C21" s="20" t="inlineStr">
        <is>
          <t>D</t>
        </is>
      </c>
      <c r="D21" s="4" t="n"/>
      <c r="E21" s="4" t="n"/>
      <c r="F21" s="4" t="n"/>
      <c r="G21" s="4" t="n"/>
      <c r="H21" s="4" t="n"/>
      <c r="I21" s="4" t="n"/>
      <c r="J21" s="4" t="n"/>
    </row>
    <row r="22" ht="19" customHeight="1">
      <c r="A22" s="15" t="inlineStr">
        <is>
          <t>1주</t>
        </is>
      </c>
      <c r="B22" s="16" t="inlineStr">
        <is>
          <t>11:00-15:00</t>
        </is>
      </c>
      <c r="C22" s="17" t="inlineStr">
        <is>
          <t>A</t>
        </is>
      </c>
      <c r="D22" s="22" t="inlineStr">
        <is>
          <t>수업 시간</t>
        </is>
      </c>
      <c r="E22" s="23" t="n"/>
      <c r="F22" s="23" t="n"/>
      <c r="G22" s="23" t="n"/>
      <c r="H22" s="23" t="n"/>
      <c r="I22" s="4" t="n"/>
      <c r="J22" s="4" t="n"/>
    </row>
    <row r="23" ht="19" customHeight="1">
      <c r="A23" s="15" t="inlineStr">
        <is>
          <t>1주</t>
        </is>
      </c>
      <c r="B23" s="16" t="inlineStr"/>
      <c r="C23" s="18" t="inlineStr">
        <is>
          <t>B</t>
        </is>
      </c>
      <c r="D23" s="23" t="n"/>
      <c r="E23" s="23" t="n"/>
      <c r="F23" s="23" t="n"/>
      <c r="G23" s="23" t="n"/>
      <c r="H23" s="23" t="n"/>
      <c r="I23" s="4" t="n"/>
      <c r="J23" s="4" t="n"/>
    </row>
    <row r="24" ht="19" customHeight="1">
      <c r="A24" s="15" t="inlineStr">
        <is>
          <t>1주</t>
        </is>
      </c>
      <c r="B24" s="16" t="inlineStr"/>
      <c r="C24" s="19" t="inlineStr">
        <is>
          <t>C</t>
        </is>
      </c>
      <c r="D24" s="23" t="n"/>
      <c r="E24" s="23" t="n"/>
      <c r="F24" s="23" t="n"/>
      <c r="G24" s="23" t="n"/>
      <c r="H24" s="23" t="n"/>
      <c r="I24" s="4" t="n"/>
      <c r="J24" s="4" t="n"/>
    </row>
    <row r="25" ht="19" customHeight="1">
      <c r="A25" s="15" t="inlineStr">
        <is>
          <t>1주</t>
        </is>
      </c>
      <c r="B25" s="16" t="inlineStr"/>
      <c r="C25" s="20" t="inlineStr">
        <is>
          <t>D</t>
        </is>
      </c>
      <c r="D25" s="23" t="n"/>
      <c r="E25" s="23" t="n"/>
      <c r="F25" s="23" t="n"/>
      <c r="G25" s="23" t="n"/>
      <c r="H25" s="23" t="n"/>
      <c r="I25" s="4" t="n"/>
      <c r="J25" s="4" t="n"/>
    </row>
    <row r="26" ht="19" customHeight="1">
      <c r="A26" s="15" t="inlineStr">
        <is>
          <t>1주</t>
        </is>
      </c>
      <c r="B26" s="16" t="inlineStr">
        <is>
          <t>15:00-19:00</t>
        </is>
      </c>
      <c r="C26" s="17" t="inlineStr">
        <is>
          <t>A</t>
        </is>
      </c>
      <c r="D26" s="22" t="inlineStr">
        <is>
          <t>수업 시간</t>
        </is>
      </c>
      <c r="E26" s="23" t="n"/>
      <c r="F26" s="23" t="n"/>
      <c r="G26" s="23" t="n"/>
      <c r="H26" s="23" t="n"/>
      <c r="I26" s="4" t="n"/>
      <c r="J26" s="4" t="n"/>
    </row>
    <row r="27" ht="19" customHeight="1">
      <c r="A27" s="15" t="inlineStr">
        <is>
          <t>1주</t>
        </is>
      </c>
      <c r="B27" s="16" t="inlineStr"/>
      <c r="C27" s="18" t="inlineStr">
        <is>
          <t>B</t>
        </is>
      </c>
      <c r="D27" s="23" t="n"/>
      <c r="E27" s="23" t="n"/>
      <c r="F27" s="23" t="n"/>
      <c r="G27" s="23" t="n"/>
      <c r="H27" s="23" t="n"/>
      <c r="I27" s="4" t="n"/>
      <c r="J27" s="4" t="n"/>
    </row>
    <row r="28" ht="19" customHeight="1">
      <c r="A28" s="15" t="inlineStr">
        <is>
          <t>1주</t>
        </is>
      </c>
      <c r="B28" s="16" t="inlineStr"/>
      <c r="C28" s="19" t="inlineStr">
        <is>
          <t>C</t>
        </is>
      </c>
      <c r="D28" s="23" t="n"/>
      <c r="E28" s="23" t="n"/>
      <c r="F28" s="23" t="n"/>
      <c r="G28" s="23" t="n"/>
      <c r="H28" s="23" t="n"/>
      <c r="I28" s="4" t="n"/>
      <c r="J28" s="4" t="n"/>
    </row>
    <row r="29" ht="19" customHeight="1">
      <c r="A29" s="15" t="inlineStr">
        <is>
          <t>1주</t>
        </is>
      </c>
      <c r="B29" s="16" t="inlineStr"/>
      <c r="C29" s="20" t="inlineStr">
        <is>
          <t>D</t>
        </is>
      </c>
      <c r="D29" s="23" t="n"/>
      <c r="E29" s="23" t="n"/>
      <c r="F29" s="23" t="n"/>
      <c r="G29" s="23" t="n"/>
      <c r="H29" s="23" t="n"/>
      <c r="I29" s="4" t="n"/>
      <c r="J29" s="4" t="n"/>
    </row>
    <row r="31" ht="22" customHeight="1">
      <c r="A31" s="14" t="inlineStr">
        <is>
          <t>2주차   10/26 ~ 11/01</t>
        </is>
      </c>
    </row>
    <row r="32" ht="30" customHeight="1">
      <c r="A32" s="3" t="inlineStr">
        <is>
          <t>주차</t>
        </is>
      </c>
      <c r="B32" s="3" t="inlineStr">
        <is>
          <t>타임블럭</t>
        </is>
      </c>
      <c r="C32" s="3" t="inlineStr">
        <is>
          <t>그룹</t>
        </is>
      </c>
      <c r="D32" s="3" t="inlineStr">
        <is>
          <t>월
10/26</t>
        </is>
      </c>
      <c r="E32" s="3" t="inlineStr">
        <is>
          <t>화
10/27</t>
        </is>
      </c>
      <c r="F32" s="3" t="inlineStr">
        <is>
          <t>수
10/28</t>
        </is>
      </c>
      <c r="G32" s="3" t="inlineStr">
        <is>
          <t>목
10/29</t>
        </is>
      </c>
      <c r="H32" s="3" t="inlineStr">
        <is>
          <t>금
10/30</t>
        </is>
      </c>
      <c r="I32" s="3" t="inlineStr">
        <is>
          <t>토
10/31</t>
        </is>
      </c>
      <c r="J32" s="3" t="inlineStr">
        <is>
          <t>일
11/01</t>
        </is>
      </c>
    </row>
    <row r="33" ht="19" customHeight="1">
      <c r="A33" s="15" t="inlineStr">
        <is>
          <t>2주</t>
        </is>
      </c>
      <c r="B33" s="16" t="inlineStr">
        <is>
          <t>19:00-23:00</t>
        </is>
      </c>
      <c r="C33" s="17" t="inlineStr">
        <is>
          <t>A</t>
        </is>
      </c>
      <c r="D33" s="4" t="n"/>
      <c r="E33" s="4" t="n"/>
      <c r="F33" s="4" t="n"/>
      <c r="G33" s="4" t="n"/>
      <c r="H33" s="4" t="n"/>
      <c r="I33" s="4" t="n"/>
      <c r="J33" s="4" t="n"/>
    </row>
    <row r="34" ht="19" customHeight="1">
      <c r="A34" s="15" t="inlineStr">
        <is>
          <t>2주</t>
        </is>
      </c>
      <c r="B34" s="16" t="inlineStr"/>
      <c r="C34" s="18" t="inlineStr">
        <is>
          <t>B</t>
        </is>
      </c>
      <c r="D34" s="4" t="n"/>
      <c r="E34" s="4" t="n"/>
      <c r="F34" s="4" t="n"/>
      <c r="G34" s="4" t="n"/>
      <c r="H34" s="4" t="n"/>
      <c r="I34" s="4" t="n"/>
      <c r="J34" s="4" t="n"/>
    </row>
    <row r="35" ht="19" customHeight="1">
      <c r="A35" s="15" t="inlineStr">
        <is>
          <t>2주</t>
        </is>
      </c>
      <c r="B35" s="16" t="inlineStr"/>
      <c r="C35" s="19" t="inlineStr">
        <is>
          <t>C</t>
        </is>
      </c>
      <c r="D35" s="4" t="n"/>
      <c r="E35" s="4" t="n"/>
      <c r="F35" s="4" t="n"/>
      <c r="G35" s="4" t="n"/>
      <c r="H35" s="4" t="n"/>
      <c r="I35" s="4" t="n"/>
      <c r="J35" s="4" t="n"/>
    </row>
    <row r="36" ht="19" customHeight="1">
      <c r="A36" s="15" t="inlineStr">
        <is>
          <t>2주</t>
        </is>
      </c>
      <c r="B36" s="16" t="inlineStr"/>
      <c r="C36" s="20" t="inlineStr">
        <is>
          <t>D</t>
        </is>
      </c>
      <c r="D36" s="4" t="n"/>
      <c r="E36" s="4" t="n"/>
      <c r="F36" s="4" t="n"/>
      <c r="G36" s="4" t="n"/>
      <c r="H36" s="4" t="n"/>
      <c r="I36" s="4" t="n"/>
      <c r="J36" s="4" t="n"/>
    </row>
    <row r="37" ht="19" customHeight="1">
      <c r="A37" s="15" t="inlineStr">
        <is>
          <t>2주</t>
        </is>
      </c>
      <c r="B37" s="16" t="inlineStr">
        <is>
          <t>23:00-03:00</t>
        </is>
      </c>
      <c r="C37" s="17" t="inlineStr">
        <is>
          <t>A</t>
        </is>
      </c>
      <c r="D37" s="21" t="n"/>
      <c r="E37" s="21" t="n"/>
      <c r="F37" s="21" t="n"/>
      <c r="G37" s="21" t="n"/>
      <c r="H37" s="21" t="n"/>
      <c r="I37" s="21" t="n"/>
      <c r="J37" s="21" t="n"/>
    </row>
    <row r="38" ht="19" customHeight="1">
      <c r="A38" s="15" t="inlineStr">
        <is>
          <t>2주</t>
        </is>
      </c>
      <c r="B38" s="16" t="inlineStr"/>
      <c r="C38" s="18" t="inlineStr">
        <is>
          <t>B</t>
        </is>
      </c>
      <c r="D38" s="21" t="n"/>
      <c r="E38" s="21" t="n"/>
      <c r="F38" s="21" t="n"/>
      <c r="G38" s="21" t="n"/>
      <c r="H38" s="21" t="n"/>
      <c r="I38" s="21" t="n"/>
      <c r="J38" s="21" t="n"/>
    </row>
    <row r="39" ht="19" customHeight="1">
      <c r="A39" s="15" t="inlineStr">
        <is>
          <t>2주</t>
        </is>
      </c>
      <c r="B39" s="16" t="inlineStr"/>
      <c r="C39" s="19" t="inlineStr">
        <is>
          <t>C</t>
        </is>
      </c>
      <c r="D39" s="21" t="n"/>
      <c r="E39" s="21" t="n"/>
      <c r="F39" s="21" t="n"/>
      <c r="G39" s="21" t="n"/>
      <c r="H39" s="21" t="n"/>
      <c r="I39" s="21" t="n"/>
      <c r="J39" s="21" t="n"/>
    </row>
    <row r="40" ht="19" customHeight="1">
      <c r="A40" s="15" t="inlineStr">
        <is>
          <t>2주</t>
        </is>
      </c>
      <c r="B40" s="16" t="inlineStr"/>
      <c r="C40" s="20" t="inlineStr">
        <is>
          <t>D</t>
        </is>
      </c>
      <c r="D40" s="21" t="n"/>
      <c r="E40" s="21" t="n"/>
      <c r="F40" s="21" t="n"/>
      <c r="G40" s="21" t="n"/>
      <c r="H40" s="21" t="n"/>
      <c r="I40" s="21" t="n"/>
      <c r="J40" s="21" t="n"/>
    </row>
    <row r="41" ht="19" customHeight="1">
      <c r="A41" s="15" t="inlineStr">
        <is>
          <t>2주</t>
        </is>
      </c>
      <c r="B41" s="16" t="inlineStr">
        <is>
          <t>03:00-07:00</t>
        </is>
      </c>
      <c r="C41" s="17" t="inlineStr">
        <is>
          <t>A</t>
        </is>
      </c>
      <c r="D41" s="21" t="n"/>
      <c r="E41" s="21" t="n"/>
      <c r="F41" s="21" t="n"/>
      <c r="G41" s="21" t="n"/>
      <c r="H41" s="21" t="n"/>
      <c r="I41" s="21" t="n"/>
      <c r="J41" s="21" t="n"/>
    </row>
    <row r="42" ht="19" customHeight="1">
      <c r="A42" s="15" t="inlineStr">
        <is>
          <t>2주</t>
        </is>
      </c>
      <c r="B42" s="16" t="inlineStr"/>
      <c r="C42" s="18" t="inlineStr">
        <is>
          <t>B</t>
        </is>
      </c>
      <c r="D42" s="21" t="n"/>
      <c r="E42" s="21" t="n"/>
      <c r="F42" s="21" t="n"/>
      <c r="G42" s="21" t="n"/>
      <c r="H42" s="21" t="n"/>
      <c r="I42" s="21" t="n"/>
      <c r="J42" s="21" t="n"/>
    </row>
    <row r="43" ht="19" customHeight="1">
      <c r="A43" s="15" t="inlineStr">
        <is>
          <t>2주</t>
        </is>
      </c>
      <c r="B43" s="16" t="inlineStr"/>
      <c r="C43" s="19" t="inlineStr">
        <is>
          <t>C</t>
        </is>
      </c>
      <c r="D43" s="21" t="n"/>
      <c r="E43" s="21" t="n"/>
      <c r="F43" s="21" t="n"/>
      <c r="G43" s="21" t="n"/>
      <c r="H43" s="21" t="n"/>
      <c r="I43" s="21" t="n"/>
      <c r="J43" s="21" t="n"/>
    </row>
    <row r="44" ht="19" customHeight="1">
      <c r="A44" s="15" t="inlineStr">
        <is>
          <t>2주</t>
        </is>
      </c>
      <c r="B44" s="16" t="inlineStr"/>
      <c r="C44" s="20" t="inlineStr">
        <is>
          <t>D</t>
        </is>
      </c>
      <c r="D44" s="21" t="n"/>
      <c r="E44" s="21" t="n"/>
      <c r="F44" s="21" t="n"/>
      <c r="G44" s="21" t="n"/>
      <c r="H44" s="21" t="n"/>
      <c r="I44" s="21" t="n"/>
      <c r="J44" s="21" t="n"/>
    </row>
    <row r="45" ht="19" customHeight="1">
      <c r="A45" s="15" t="inlineStr">
        <is>
          <t>2주</t>
        </is>
      </c>
      <c r="B45" s="16" t="inlineStr">
        <is>
          <t>07:00-11:00</t>
        </is>
      </c>
      <c r="C45" s="17" t="inlineStr">
        <is>
          <t>A</t>
        </is>
      </c>
      <c r="D45" s="4" t="n"/>
      <c r="E45" s="4" t="n"/>
      <c r="F45" s="4" t="n"/>
      <c r="G45" s="4" t="n"/>
      <c r="H45" s="4" t="n"/>
      <c r="I45" s="4" t="n"/>
      <c r="J45" s="4" t="n"/>
    </row>
    <row r="46" ht="19" customHeight="1">
      <c r="A46" s="15" t="inlineStr">
        <is>
          <t>2주</t>
        </is>
      </c>
      <c r="B46" s="16" t="inlineStr"/>
      <c r="C46" s="18" t="inlineStr">
        <is>
          <t>B</t>
        </is>
      </c>
      <c r="D46" s="4" t="n"/>
      <c r="E46" s="4" t="n"/>
      <c r="F46" s="4" t="n"/>
      <c r="G46" s="4" t="n"/>
      <c r="H46" s="4" t="n"/>
      <c r="I46" s="4" t="n"/>
      <c r="J46" s="4" t="n"/>
    </row>
    <row r="47" ht="19" customHeight="1">
      <c r="A47" s="15" t="inlineStr">
        <is>
          <t>2주</t>
        </is>
      </c>
      <c r="B47" s="16" t="inlineStr"/>
      <c r="C47" s="19" t="inlineStr">
        <is>
          <t>C</t>
        </is>
      </c>
      <c r="D47" s="4" t="n"/>
      <c r="E47" s="4" t="n"/>
      <c r="F47" s="4" t="n"/>
      <c r="G47" s="4" t="n"/>
      <c r="H47" s="4" t="n"/>
      <c r="I47" s="4" t="n"/>
      <c r="J47" s="4" t="n"/>
    </row>
    <row r="48" ht="19" customHeight="1">
      <c r="A48" s="15" t="inlineStr">
        <is>
          <t>2주</t>
        </is>
      </c>
      <c r="B48" s="16" t="inlineStr"/>
      <c r="C48" s="20" t="inlineStr">
        <is>
          <t>D</t>
        </is>
      </c>
      <c r="D48" s="4" t="n"/>
      <c r="E48" s="4" t="n"/>
      <c r="F48" s="4" t="n"/>
      <c r="G48" s="4" t="n"/>
      <c r="H48" s="4" t="n"/>
      <c r="I48" s="4" t="n"/>
      <c r="J48" s="4" t="n"/>
    </row>
    <row r="49" ht="19" customHeight="1">
      <c r="A49" s="15" t="inlineStr">
        <is>
          <t>2주</t>
        </is>
      </c>
      <c r="B49" s="16" t="inlineStr">
        <is>
          <t>11:00-15:00</t>
        </is>
      </c>
      <c r="C49" s="17" t="inlineStr">
        <is>
          <t>A</t>
        </is>
      </c>
      <c r="D49" s="22" t="inlineStr">
        <is>
          <t>수업 시간</t>
        </is>
      </c>
      <c r="E49" s="23" t="n"/>
      <c r="F49" s="23" t="n"/>
      <c r="G49" s="23" t="n"/>
      <c r="H49" s="23" t="n"/>
      <c r="I49" s="4" t="n"/>
      <c r="J49" s="4" t="n"/>
    </row>
    <row r="50" ht="19" customHeight="1">
      <c r="A50" s="15" t="inlineStr">
        <is>
          <t>2주</t>
        </is>
      </c>
      <c r="B50" s="16" t="inlineStr"/>
      <c r="C50" s="18" t="inlineStr">
        <is>
          <t>B</t>
        </is>
      </c>
      <c r="D50" s="23" t="n"/>
      <c r="E50" s="23" t="n"/>
      <c r="F50" s="23" t="n"/>
      <c r="G50" s="23" t="n"/>
      <c r="H50" s="23" t="n"/>
      <c r="I50" s="4" t="n"/>
      <c r="J50" s="4" t="n"/>
    </row>
    <row r="51" ht="19" customHeight="1">
      <c r="A51" s="15" t="inlineStr">
        <is>
          <t>2주</t>
        </is>
      </c>
      <c r="B51" s="16" t="inlineStr"/>
      <c r="C51" s="19" t="inlineStr">
        <is>
          <t>C</t>
        </is>
      </c>
      <c r="D51" s="23" t="n"/>
      <c r="E51" s="23" t="n"/>
      <c r="F51" s="23" t="n"/>
      <c r="G51" s="23" t="n"/>
      <c r="H51" s="23" t="n"/>
      <c r="I51" s="4" t="n"/>
      <c r="J51" s="4" t="n"/>
    </row>
    <row r="52" ht="19" customHeight="1">
      <c r="A52" s="15" t="inlineStr">
        <is>
          <t>2주</t>
        </is>
      </c>
      <c r="B52" s="16" t="inlineStr"/>
      <c r="C52" s="20" t="inlineStr">
        <is>
          <t>D</t>
        </is>
      </c>
      <c r="D52" s="23" t="n"/>
      <c r="E52" s="23" t="n"/>
      <c r="F52" s="23" t="n"/>
      <c r="G52" s="23" t="n"/>
      <c r="H52" s="23" t="n"/>
      <c r="I52" s="4" t="n"/>
      <c r="J52" s="4" t="n"/>
    </row>
    <row r="53" ht="19" customHeight="1">
      <c r="A53" s="15" t="inlineStr">
        <is>
          <t>2주</t>
        </is>
      </c>
      <c r="B53" s="16" t="inlineStr">
        <is>
          <t>15:00-19:00</t>
        </is>
      </c>
      <c r="C53" s="17" t="inlineStr">
        <is>
          <t>A</t>
        </is>
      </c>
      <c r="D53" s="22" t="inlineStr">
        <is>
          <t>수업 시간</t>
        </is>
      </c>
      <c r="E53" s="23" t="n"/>
      <c r="F53" s="23" t="n"/>
      <c r="G53" s="23" t="n"/>
      <c r="H53" s="23" t="n"/>
      <c r="I53" s="4" t="n"/>
      <c r="J53" s="4" t="n"/>
    </row>
    <row r="54" ht="19" customHeight="1">
      <c r="A54" s="15" t="inlineStr">
        <is>
          <t>2주</t>
        </is>
      </c>
      <c r="B54" s="16" t="inlineStr"/>
      <c r="C54" s="18" t="inlineStr">
        <is>
          <t>B</t>
        </is>
      </c>
      <c r="D54" s="23" t="n"/>
      <c r="E54" s="23" t="n"/>
      <c r="F54" s="23" t="n"/>
      <c r="G54" s="23" t="n"/>
      <c r="H54" s="23" t="n"/>
      <c r="I54" s="4" t="n"/>
      <c r="J54" s="4" t="n"/>
    </row>
    <row r="55" ht="19" customHeight="1">
      <c r="A55" s="15" t="inlineStr">
        <is>
          <t>2주</t>
        </is>
      </c>
      <c r="B55" s="16" t="inlineStr"/>
      <c r="C55" s="19" t="inlineStr">
        <is>
          <t>C</t>
        </is>
      </c>
      <c r="D55" s="23" t="n"/>
      <c r="E55" s="23" t="n"/>
      <c r="F55" s="23" t="n"/>
      <c r="G55" s="23" t="n"/>
      <c r="H55" s="23" t="n"/>
      <c r="I55" s="4" t="n"/>
      <c r="J55" s="4" t="n"/>
    </row>
    <row r="56" ht="19" customHeight="1">
      <c r="A56" s="15" t="inlineStr">
        <is>
          <t>2주</t>
        </is>
      </c>
      <c r="B56" s="16" t="inlineStr"/>
      <c r="C56" s="20" t="inlineStr">
        <is>
          <t>D</t>
        </is>
      </c>
      <c r="D56" s="23" t="n"/>
      <c r="E56" s="23" t="n"/>
      <c r="F56" s="23" t="n"/>
      <c r="G56" s="23" t="n"/>
      <c r="H56" s="23" t="n"/>
      <c r="I56" s="4" t="n"/>
      <c r="J56" s="4" t="n"/>
    </row>
    <row r="58" ht="22" customHeight="1">
      <c r="A58" s="14" t="inlineStr">
        <is>
          <t>3주차   11/02 ~ 11/08</t>
        </is>
      </c>
    </row>
    <row r="59" ht="30" customHeight="1">
      <c r="A59" s="3" t="inlineStr">
        <is>
          <t>주차</t>
        </is>
      </c>
      <c r="B59" s="3" t="inlineStr">
        <is>
          <t>타임블럭</t>
        </is>
      </c>
      <c r="C59" s="3" t="inlineStr">
        <is>
          <t>그룹</t>
        </is>
      </c>
      <c r="D59" s="3" t="inlineStr">
        <is>
          <t>월
11/02</t>
        </is>
      </c>
      <c r="E59" s="3" t="inlineStr">
        <is>
          <t>화
11/03</t>
        </is>
      </c>
      <c r="F59" s="3" t="inlineStr">
        <is>
          <t>수
11/04</t>
        </is>
      </c>
      <c r="G59" s="3" t="inlineStr">
        <is>
          <t>목
11/05</t>
        </is>
      </c>
      <c r="H59" s="3" t="inlineStr">
        <is>
          <t>금
11/06</t>
        </is>
      </c>
      <c r="I59" s="3" t="inlineStr">
        <is>
          <t>토
11/07</t>
        </is>
      </c>
      <c r="J59" s="3" t="inlineStr">
        <is>
          <t>일
11/08</t>
        </is>
      </c>
    </row>
    <row r="60" ht="19" customHeight="1">
      <c r="A60" s="15" t="inlineStr">
        <is>
          <t>3주</t>
        </is>
      </c>
      <c r="B60" s="16" t="inlineStr">
        <is>
          <t>19:00-23:00</t>
        </is>
      </c>
      <c r="C60" s="17" t="inlineStr">
        <is>
          <t>A</t>
        </is>
      </c>
      <c r="D60" s="4" t="n"/>
      <c r="E60" s="4" t="n"/>
      <c r="F60" s="4" t="n"/>
      <c r="G60" s="4" t="n"/>
      <c r="H60" s="4" t="n"/>
      <c r="I60" s="4" t="n"/>
      <c r="J60" s="4" t="n"/>
    </row>
    <row r="61" ht="19" customHeight="1">
      <c r="A61" s="15" t="inlineStr">
        <is>
          <t>3주</t>
        </is>
      </c>
      <c r="B61" s="16" t="inlineStr"/>
      <c r="C61" s="18" t="inlineStr">
        <is>
          <t>B</t>
        </is>
      </c>
      <c r="D61" s="4" t="n"/>
      <c r="E61" s="4" t="n"/>
      <c r="F61" s="4" t="n"/>
      <c r="G61" s="4" t="n"/>
      <c r="H61" s="4" t="n"/>
      <c r="I61" s="4" t="n"/>
      <c r="J61" s="4" t="n"/>
    </row>
    <row r="62" ht="19" customHeight="1">
      <c r="A62" s="15" t="inlineStr">
        <is>
          <t>3주</t>
        </is>
      </c>
      <c r="B62" s="16" t="inlineStr"/>
      <c r="C62" s="19" t="inlineStr">
        <is>
          <t>C</t>
        </is>
      </c>
      <c r="D62" s="4" t="n"/>
      <c r="E62" s="4" t="n"/>
      <c r="F62" s="4" t="n"/>
      <c r="G62" s="4" t="n"/>
      <c r="H62" s="4" t="n"/>
      <c r="I62" s="4" t="n"/>
      <c r="J62" s="4" t="n"/>
    </row>
    <row r="63" ht="19" customHeight="1">
      <c r="A63" s="15" t="inlineStr">
        <is>
          <t>3주</t>
        </is>
      </c>
      <c r="B63" s="16" t="inlineStr"/>
      <c r="C63" s="20" t="inlineStr">
        <is>
          <t>D</t>
        </is>
      </c>
      <c r="D63" s="4" t="n"/>
      <c r="E63" s="4" t="n"/>
      <c r="F63" s="4" t="n"/>
      <c r="G63" s="4" t="n"/>
      <c r="H63" s="4" t="n"/>
      <c r="I63" s="4" t="n"/>
      <c r="J63" s="4" t="n"/>
    </row>
    <row r="64" ht="19" customHeight="1">
      <c r="A64" s="15" t="inlineStr">
        <is>
          <t>3주</t>
        </is>
      </c>
      <c r="B64" s="16" t="inlineStr">
        <is>
          <t>23:00-03:00</t>
        </is>
      </c>
      <c r="C64" s="17" t="inlineStr">
        <is>
          <t>A</t>
        </is>
      </c>
      <c r="D64" s="21" t="n"/>
      <c r="E64" s="21" t="n"/>
      <c r="F64" s="21" t="n"/>
      <c r="G64" s="21" t="n"/>
      <c r="H64" s="21" t="n"/>
      <c r="I64" s="21" t="n"/>
      <c r="J64" s="21" t="n"/>
    </row>
    <row r="65" ht="19" customHeight="1">
      <c r="A65" s="15" t="inlineStr">
        <is>
          <t>3주</t>
        </is>
      </c>
      <c r="B65" s="16" t="inlineStr"/>
      <c r="C65" s="18" t="inlineStr">
        <is>
          <t>B</t>
        </is>
      </c>
      <c r="D65" s="21" t="n"/>
      <c r="E65" s="21" t="n"/>
      <c r="F65" s="21" t="n"/>
      <c r="G65" s="21" t="n"/>
      <c r="H65" s="21" t="n"/>
      <c r="I65" s="21" t="n"/>
      <c r="J65" s="21" t="n"/>
    </row>
    <row r="66" ht="19" customHeight="1">
      <c r="A66" s="15" t="inlineStr">
        <is>
          <t>3주</t>
        </is>
      </c>
      <c r="B66" s="16" t="inlineStr"/>
      <c r="C66" s="19" t="inlineStr">
        <is>
          <t>C</t>
        </is>
      </c>
      <c r="D66" s="21" t="n"/>
      <c r="E66" s="21" t="n"/>
      <c r="F66" s="21" t="n"/>
      <c r="G66" s="21" t="n"/>
      <c r="H66" s="21" t="n"/>
      <c r="I66" s="21" t="n"/>
      <c r="J66" s="21" t="n"/>
    </row>
    <row r="67" ht="19" customHeight="1">
      <c r="A67" s="15" t="inlineStr">
        <is>
          <t>3주</t>
        </is>
      </c>
      <c r="B67" s="16" t="inlineStr"/>
      <c r="C67" s="20" t="inlineStr">
        <is>
          <t>D</t>
        </is>
      </c>
      <c r="D67" s="21" t="n"/>
      <c r="E67" s="21" t="n"/>
      <c r="F67" s="21" t="n"/>
      <c r="G67" s="21" t="n"/>
      <c r="H67" s="21" t="n"/>
      <c r="I67" s="21" t="n"/>
      <c r="J67" s="21" t="n"/>
    </row>
    <row r="68" ht="19" customHeight="1">
      <c r="A68" s="15" t="inlineStr">
        <is>
          <t>3주</t>
        </is>
      </c>
      <c r="B68" s="16" t="inlineStr">
        <is>
          <t>03:00-07:00</t>
        </is>
      </c>
      <c r="C68" s="17" t="inlineStr">
        <is>
          <t>A</t>
        </is>
      </c>
      <c r="D68" s="21" t="n"/>
      <c r="E68" s="21" t="n"/>
      <c r="F68" s="21" t="n"/>
      <c r="G68" s="21" t="n"/>
      <c r="H68" s="21" t="n"/>
      <c r="I68" s="21" t="n"/>
      <c r="J68" s="21" t="n"/>
    </row>
    <row r="69" ht="19" customHeight="1">
      <c r="A69" s="15" t="inlineStr">
        <is>
          <t>3주</t>
        </is>
      </c>
      <c r="B69" s="16" t="inlineStr"/>
      <c r="C69" s="18" t="inlineStr">
        <is>
          <t>B</t>
        </is>
      </c>
      <c r="D69" s="21" t="n"/>
      <c r="E69" s="21" t="n"/>
      <c r="F69" s="21" t="n"/>
      <c r="G69" s="21" t="n"/>
      <c r="H69" s="21" t="n"/>
      <c r="I69" s="21" t="n"/>
      <c r="J69" s="21" t="n"/>
    </row>
    <row r="70" ht="19" customHeight="1">
      <c r="A70" s="15" t="inlineStr">
        <is>
          <t>3주</t>
        </is>
      </c>
      <c r="B70" s="16" t="inlineStr"/>
      <c r="C70" s="19" t="inlineStr">
        <is>
          <t>C</t>
        </is>
      </c>
      <c r="D70" s="21" t="n"/>
      <c r="E70" s="21" t="n"/>
      <c r="F70" s="21" t="n"/>
      <c r="G70" s="21" t="n"/>
      <c r="H70" s="21" t="n"/>
      <c r="I70" s="21" t="n"/>
      <c r="J70" s="21" t="n"/>
    </row>
    <row r="71" ht="19" customHeight="1">
      <c r="A71" s="15" t="inlineStr">
        <is>
          <t>3주</t>
        </is>
      </c>
      <c r="B71" s="16" t="inlineStr"/>
      <c r="C71" s="20" t="inlineStr">
        <is>
          <t>D</t>
        </is>
      </c>
      <c r="D71" s="21" t="n"/>
      <c r="E71" s="21" t="n"/>
      <c r="F71" s="21" t="n"/>
      <c r="G71" s="21" t="n"/>
      <c r="H71" s="21" t="n"/>
      <c r="I71" s="21" t="n"/>
      <c r="J71" s="21" t="n"/>
    </row>
    <row r="72" ht="19" customHeight="1">
      <c r="A72" s="15" t="inlineStr">
        <is>
          <t>3주</t>
        </is>
      </c>
      <c r="B72" s="16" t="inlineStr">
        <is>
          <t>07:00-11:00</t>
        </is>
      </c>
      <c r="C72" s="17" t="inlineStr">
        <is>
          <t>A</t>
        </is>
      </c>
      <c r="D72" s="4" t="n"/>
      <c r="E72" s="4" t="n"/>
      <c r="F72" s="4" t="n"/>
      <c r="G72" s="4" t="n"/>
      <c r="H72" s="4" t="n"/>
      <c r="I72" s="4" t="n"/>
      <c r="J72" s="4" t="n"/>
    </row>
    <row r="73" ht="19" customHeight="1">
      <c r="A73" s="15" t="inlineStr">
        <is>
          <t>3주</t>
        </is>
      </c>
      <c r="B73" s="16" t="inlineStr"/>
      <c r="C73" s="18" t="inlineStr">
        <is>
          <t>B</t>
        </is>
      </c>
      <c r="D73" s="4" t="n"/>
      <c r="E73" s="4" t="n"/>
      <c r="F73" s="4" t="n"/>
      <c r="G73" s="4" t="n"/>
      <c r="H73" s="4" t="n"/>
      <c r="I73" s="4" t="n"/>
      <c r="J73" s="4" t="n"/>
    </row>
    <row r="74" ht="19" customHeight="1">
      <c r="A74" s="15" t="inlineStr">
        <is>
          <t>3주</t>
        </is>
      </c>
      <c r="B74" s="16" t="inlineStr"/>
      <c r="C74" s="19" t="inlineStr">
        <is>
          <t>C</t>
        </is>
      </c>
      <c r="D74" s="4" t="n"/>
      <c r="E74" s="4" t="n"/>
      <c r="F74" s="4" t="n"/>
      <c r="G74" s="4" t="n"/>
      <c r="H74" s="4" t="n"/>
      <c r="I74" s="4" t="n"/>
      <c r="J74" s="4" t="n"/>
    </row>
    <row r="75" ht="19" customHeight="1">
      <c r="A75" s="15" t="inlineStr">
        <is>
          <t>3주</t>
        </is>
      </c>
      <c r="B75" s="16" t="inlineStr"/>
      <c r="C75" s="20" t="inlineStr">
        <is>
          <t>D</t>
        </is>
      </c>
      <c r="D75" s="4" t="n"/>
      <c r="E75" s="4" t="n"/>
      <c r="F75" s="4" t="n"/>
      <c r="G75" s="4" t="n"/>
      <c r="H75" s="4" t="n"/>
      <c r="I75" s="4" t="n"/>
      <c r="J75" s="4" t="n"/>
    </row>
    <row r="76" ht="19" customHeight="1">
      <c r="A76" s="15" t="inlineStr">
        <is>
          <t>3주</t>
        </is>
      </c>
      <c r="B76" s="16" t="inlineStr">
        <is>
          <t>11:00-15:00</t>
        </is>
      </c>
      <c r="C76" s="17" t="inlineStr">
        <is>
          <t>A</t>
        </is>
      </c>
      <c r="D76" s="22" t="inlineStr">
        <is>
          <t>수업 시간</t>
        </is>
      </c>
      <c r="E76" s="23" t="n"/>
      <c r="F76" s="23" t="n"/>
      <c r="G76" s="23" t="n"/>
      <c r="H76" s="23" t="n"/>
      <c r="I76" s="4" t="n"/>
      <c r="J76" s="4" t="n"/>
    </row>
    <row r="77" ht="19" customHeight="1">
      <c r="A77" s="15" t="inlineStr">
        <is>
          <t>3주</t>
        </is>
      </c>
      <c r="B77" s="16" t="inlineStr"/>
      <c r="C77" s="18" t="inlineStr">
        <is>
          <t>B</t>
        </is>
      </c>
      <c r="D77" s="23" t="n"/>
      <c r="E77" s="23" t="n"/>
      <c r="F77" s="23" t="n"/>
      <c r="G77" s="23" t="n"/>
      <c r="H77" s="23" t="n"/>
      <c r="I77" s="4" t="n"/>
      <c r="J77" s="4" t="n"/>
    </row>
    <row r="78" ht="19" customHeight="1">
      <c r="A78" s="15" t="inlineStr">
        <is>
          <t>3주</t>
        </is>
      </c>
      <c r="B78" s="16" t="inlineStr"/>
      <c r="C78" s="19" t="inlineStr">
        <is>
          <t>C</t>
        </is>
      </c>
      <c r="D78" s="23" t="n"/>
      <c r="E78" s="23" t="n"/>
      <c r="F78" s="23" t="n"/>
      <c r="G78" s="23" t="n"/>
      <c r="H78" s="23" t="n"/>
      <c r="I78" s="4" t="n"/>
      <c r="J78" s="4" t="n"/>
    </row>
    <row r="79" ht="19" customHeight="1">
      <c r="A79" s="15" t="inlineStr">
        <is>
          <t>3주</t>
        </is>
      </c>
      <c r="B79" s="16" t="inlineStr"/>
      <c r="C79" s="20" t="inlineStr">
        <is>
          <t>D</t>
        </is>
      </c>
      <c r="D79" s="23" t="n"/>
      <c r="E79" s="23" t="n"/>
      <c r="F79" s="23" t="n"/>
      <c r="G79" s="23" t="n"/>
      <c r="H79" s="23" t="n"/>
      <c r="I79" s="4" t="n"/>
      <c r="J79" s="4" t="n"/>
    </row>
    <row r="80" ht="19" customHeight="1">
      <c r="A80" s="15" t="inlineStr">
        <is>
          <t>3주</t>
        </is>
      </c>
      <c r="B80" s="16" t="inlineStr">
        <is>
          <t>15:00-19:00</t>
        </is>
      </c>
      <c r="C80" s="17" t="inlineStr">
        <is>
          <t>A</t>
        </is>
      </c>
      <c r="D80" s="22" t="inlineStr">
        <is>
          <t>수업 시간</t>
        </is>
      </c>
      <c r="E80" s="23" t="n"/>
      <c r="F80" s="23" t="n"/>
      <c r="G80" s="23" t="n"/>
      <c r="H80" s="23" t="n"/>
      <c r="I80" s="4" t="n"/>
      <c r="J80" s="4" t="n"/>
    </row>
    <row r="81" ht="19" customHeight="1">
      <c r="A81" s="15" t="inlineStr">
        <is>
          <t>3주</t>
        </is>
      </c>
      <c r="B81" s="16" t="inlineStr"/>
      <c r="C81" s="18" t="inlineStr">
        <is>
          <t>B</t>
        </is>
      </c>
      <c r="D81" s="23" t="n"/>
      <c r="E81" s="23" t="n"/>
      <c r="F81" s="23" t="n"/>
      <c r="G81" s="23" t="n"/>
      <c r="H81" s="23" t="n"/>
      <c r="I81" s="4" t="n"/>
      <c r="J81" s="4" t="n"/>
    </row>
    <row r="82" ht="19" customHeight="1">
      <c r="A82" s="15" t="inlineStr">
        <is>
          <t>3주</t>
        </is>
      </c>
      <c r="B82" s="16" t="inlineStr"/>
      <c r="C82" s="19" t="inlineStr">
        <is>
          <t>C</t>
        </is>
      </c>
      <c r="D82" s="23" t="n"/>
      <c r="E82" s="23" t="n"/>
      <c r="F82" s="23" t="n"/>
      <c r="G82" s="23" t="n"/>
      <c r="H82" s="23" t="n"/>
      <c r="I82" s="4" t="n"/>
      <c r="J82" s="4" t="n"/>
    </row>
    <row r="83" ht="19" customHeight="1">
      <c r="A83" s="15" t="inlineStr">
        <is>
          <t>3주</t>
        </is>
      </c>
      <c r="B83" s="16" t="inlineStr"/>
      <c r="C83" s="20" t="inlineStr">
        <is>
          <t>D</t>
        </is>
      </c>
      <c r="D83" s="23" t="n"/>
      <c r="E83" s="23" t="n"/>
      <c r="F83" s="23" t="n"/>
      <c r="G83" s="23" t="n"/>
      <c r="H83" s="23" t="n"/>
      <c r="I83" s="4" t="n"/>
      <c r="J83" s="4" t="n"/>
    </row>
    <row r="85" ht="22" customHeight="1">
      <c r="A85" s="14" t="inlineStr">
        <is>
          <t>4주차   11/09 ~ 11/15</t>
        </is>
      </c>
    </row>
    <row r="86" ht="30" customHeight="1">
      <c r="A86" s="3" t="inlineStr">
        <is>
          <t>주차</t>
        </is>
      </c>
      <c r="B86" s="3" t="inlineStr">
        <is>
          <t>타임블럭</t>
        </is>
      </c>
      <c r="C86" s="3" t="inlineStr">
        <is>
          <t>그룹</t>
        </is>
      </c>
      <c r="D86" s="3" t="inlineStr">
        <is>
          <t>월
11/09</t>
        </is>
      </c>
      <c r="E86" s="3" t="inlineStr">
        <is>
          <t>화
11/10</t>
        </is>
      </c>
      <c r="F86" s="3" t="inlineStr">
        <is>
          <t>수
11/11</t>
        </is>
      </c>
      <c r="G86" s="3" t="inlineStr">
        <is>
          <t>목
11/12</t>
        </is>
      </c>
      <c r="H86" s="3" t="inlineStr">
        <is>
          <t>금
11/13</t>
        </is>
      </c>
      <c r="I86" s="3" t="inlineStr">
        <is>
          <t>토
11/14</t>
        </is>
      </c>
      <c r="J86" s="3" t="inlineStr">
        <is>
          <t>일
11/15</t>
        </is>
      </c>
    </row>
    <row r="87" ht="19" customHeight="1">
      <c r="A87" s="15" t="inlineStr">
        <is>
          <t>4주</t>
        </is>
      </c>
      <c r="B87" s="16" t="inlineStr">
        <is>
          <t>19:00-23:00</t>
        </is>
      </c>
      <c r="C87" s="17" t="inlineStr">
        <is>
          <t>A</t>
        </is>
      </c>
      <c r="D87" s="4" t="n"/>
      <c r="E87" s="4" t="n"/>
      <c r="F87" s="4" t="n"/>
      <c r="G87" s="4" t="n"/>
      <c r="H87" s="4" t="n"/>
      <c r="I87" s="4" t="n"/>
      <c r="J87" s="4" t="n"/>
    </row>
    <row r="88" ht="19" customHeight="1">
      <c r="A88" s="15" t="inlineStr">
        <is>
          <t>4주</t>
        </is>
      </c>
      <c r="B88" s="16" t="inlineStr"/>
      <c r="C88" s="18" t="inlineStr">
        <is>
          <t>B</t>
        </is>
      </c>
      <c r="D88" s="4" t="n"/>
      <c r="E88" s="4" t="n"/>
      <c r="F88" s="4" t="n"/>
      <c r="G88" s="4" t="n"/>
      <c r="H88" s="4" t="n"/>
      <c r="I88" s="4" t="n"/>
      <c r="J88" s="4" t="n"/>
    </row>
    <row r="89" ht="19" customHeight="1">
      <c r="A89" s="15" t="inlineStr">
        <is>
          <t>4주</t>
        </is>
      </c>
      <c r="B89" s="16" t="inlineStr"/>
      <c r="C89" s="19" t="inlineStr">
        <is>
          <t>C</t>
        </is>
      </c>
      <c r="D89" s="4" t="n"/>
      <c r="E89" s="4" t="n"/>
      <c r="F89" s="4" t="n"/>
      <c r="G89" s="4" t="n"/>
      <c r="H89" s="4" t="n"/>
      <c r="I89" s="4" t="n"/>
      <c r="J89" s="4" t="n"/>
    </row>
    <row r="90" ht="19" customHeight="1">
      <c r="A90" s="15" t="inlineStr">
        <is>
          <t>4주</t>
        </is>
      </c>
      <c r="B90" s="16" t="inlineStr"/>
      <c r="C90" s="20" t="inlineStr">
        <is>
          <t>D</t>
        </is>
      </c>
      <c r="D90" s="4" t="n"/>
      <c r="E90" s="4" t="n"/>
      <c r="F90" s="4" t="n"/>
      <c r="G90" s="4" t="n"/>
      <c r="H90" s="4" t="n"/>
      <c r="I90" s="4" t="n"/>
      <c r="J90" s="4" t="n"/>
    </row>
    <row r="91" ht="19" customHeight="1">
      <c r="A91" s="15" t="inlineStr">
        <is>
          <t>4주</t>
        </is>
      </c>
      <c r="B91" s="16" t="inlineStr">
        <is>
          <t>23:00-03:00</t>
        </is>
      </c>
      <c r="C91" s="17" t="inlineStr">
        <is>
          <t>A</t>
        </is>
      </c>
      <c r="D91" s="21" t="n"/>
      <c r="E91" s="21" t="n"/>
      <c r="F91" s="21" t="n"/>
      <c r="G91" s="21" t="n"/>
      <c r="H91" s="21" t="n"/>
      <c r="I91" s="21" t="n"/>
      <c r="J91" s="21" t="n"/>
    </row>
    <row r="92" ht="19" customHeight="1">
      <c r="A92" s="15" t="inlineStr">
        <is>
          <t>4주</t>
        </is>
      </c>
      <c r="B92" s="16" t="inlineStr"/>
      <c r="C92" s="18" t="inlineStr">
        <is>
          <t>B</t>
        </is>
      </c>
      <c r="D92" s="21" t="n"/>
      <c r="E92" s="21" t="n"/>
      <c r="F92" s="21" t="n"/>
      <c r="G92" s="21" t="n"/>
      <c r="H92" s="21" t="n"/>
      <c r="I92" s="21" t="n"/>
      <c r="J92" s="21" t="n"/>
    </row>
    <row r="93" ht="19" customHeight="1">
      <c r="A93" s="15" t="inlineStr">
        <is>
          <t>4주</t>
        </is>
      </c>
      <c r="B93" s="16" t="inlineStr"/>
      <c r="C93" s="19" t="inlineStr">
        <is>
          <t>C</t>
        </is>
      </c>
      <c r="D93" s="21" t="n"/>
      <c r="E93" s="21" t="n"/>
      <c r="F93" s="21" t="n"/>
      <c r="G93" s="21" t="n"/>
      <c r="H93" s="21" t="n"/>
      <c r="I93" s="21" t="n"/>
      <c r="J93" s="21" t="n"/>
    </row>
    <row r="94" ht="19" customHeight="1">
      <c r="A94" s="15" t="inlineStr">
        <is>
          <t>4주</t>
        </is>
      </c>
      <c r="B94" s="16" t="inlineStr"/>
      <c r="C94" s="20" t="inlineStr">
        <is>
          <t>D</t>
        </is>
      </c>
      <c r="D94" s="21" t="n"/>
      <c r="E94" s="21" t="n"/>
      <c r="F94" s="21" t="n"/>
      <c r="G94" s="21" t="n"/>
      <c r="H94" s="21" t="n"/>
      <c r="I94" s="21" t="n"/>
      <c r="J94" s="21" t="n"/>
    </row>
    <row r="95" ht="19" customHeight="1">
      <c r="A95" s="15" t="inlineStr">
        <is>
          <t>4주</t>
        </is>
      </c>
      <c r="B95" s="16" t="inlineStr">
        <is>
          <t>03:00-07:00</t>
        </is>
      </c>
      <c r="C95" s="17" t="inlineStr">
        <is>
          <t>A</t>
        </is>
      </c>
      <c r="D95" s="21" t="n"/>
      <c r="E95" s="21" t="n"/>
      <c r="F95" s="21" t="n"/>
      <c r="G95" s="21" t="n"/>
      <c r="H95" s="21" t="n"/>
      <c r="I95" s="21" t="n"/>
      <c r="J95" s="21" t="n"/>
    </row>
    <row r="96" ht="19" customHeight="1">
      <c r="A96" s="15" t="inlineStr">
        <is>
          <t>4주</t>
        </is>
      </c>
      <c r="B96" s="16" t="inlineStr"/>
      <c r="C96" s="18" t="inlineStr">
        <is>
          <t>B</t>
        </is>
      </c>
      <c r="D96" s="21" t="n"/>
      <c r="E96" s="21" t="n"/>
      <c r="F96" s="21" t="n"/>
      <c r="G96" s="21" t="n"/>
      <c r="H96" s="21" t="n"/>
      <c r="I96" s="21" t="n"/>
      <c r="J96" s="21" t="n"/>
    </row>
    <row r="97" ht="19" customHeight="1">
      <c r="A97" s="15" t="inlineStr">
        <is>
          <t>4주</t>
        </is>
      </c>
      <c r="B97" s="16" t="inlineStr"/>
      <c r="C97" s="19" t="inlineStr">
        <is>
          <t>C</t>
        </is>
      </c>
      <c r="D97" s="21" t="n"/>
      <c r="E97" s="21" t="n"/>
      <c r="F97" s="21" t="n"/>
      <c r="G97" s="21" t="n"/>
      <c r="H97" s="21" t="n"/>
      <c r="I97" s="21" t="n"/>
      <c r="J97" s="21" t="n"/>
    </row>
    <row r="98" ht="19" customHeight="1">
      <c r="A98" s="15" t="inlineStr">
        <is>
          <t>4주</t>
        </is>
      </c>
      <c r="B98" s="16" t="inlineStr"/>
      <c r="C98" s="20" t="inlineStr">
        <is>
          <t>D</t>
        </is>
      </c>
      <c r="D98" s="21" t="n"/>
      <c r="E98" s="21" t="n"/>
      <c r="F98" s="21" t="n"/>
      <c r="G98" s="21" t="n"/>
      <c r="H98" s="21" t="n"/>
      <c r="I98" s="21" t="n"/>
      <c r="J98" s="21" t="n"/>
    </row>
    <row r="99" ht="19" customHeight="1">
      <c r="A99" s="15" t="inlineStr">
        <is>
          <t>4주</t>
        </is>
      </c>
      <c r="B99" s="16" t="inlineStr">
        <is>
          <t>07:00-11:00</t>
        </is>
      </c>
      <c r="C99" s="17" t="inlineStr">
        <is>
          <t>A</t>
        </is>
      </c>
      <c r="D99" s="4" t="n"/>
      <c r="E99" s="4" t="n"/>
      <c r="F99" s="4" t="n"/>
      <c r="G99" s="4" t="n"/>
      <c r="H99" s="4" t="n"/>
      <c r="I99" s="4" t="n"/>
      <c r="J99" s="4" t="n"/>
    </row>
    <row r="100" ht="19" customHeight="1">
      <c r="A100" s="15" t="inlineStr">
        <is>
          <t>4주</t>
        </is>
      </c>
      <c r="B100" s="16" t="inlineStr"/>
      <c r="C100" s="18" t="inlineStr">
        <is>
          <t>B</t>
        </is>
      </c>
      <c r="D100" s="4" t="n"/>
      <c r="E100" s="4" t="n"/>
      <c r="F100" s="4" t="n"/>
      <c r="G100" s="4" t="n"/>
      <c r="H100" s="4" t="n"/>
      <c r="I100" s="4" t="n"/>
      <c r="J100" s="4" t="n"/>
    </row>
    <row r="101" ht="19" customHeight="1">
      <c r="A101" s="15" t="inlineStr">
        <is>
          <t>4주</t>
        </is>
      </c>
      <c r="B101" s="16" t="inlineStr"/>
      <c r="C101" s="19" t="inlineStr">
        <is>
          <t>C</t>
        </is>
      </c>
      <c r="D101" s="4" t="n"/>
      <c r="E101" s="4" t="n"/>
      <c r="F101" s="4" t="n"/>
      <c r="G101" s="4" t="n"/>
      <c r="H101" s="4" t="n"/>
      <c r="I101" s="4" t="n"/>
      <c r="J101" s="4" t="n"/>
    </row>
    <row r="102" ht="19" customHeight="1">
      <c r="A102" s="15" t="inlineStr">
        <is>
          <t>4주</t>
        </is>
      </c>
      <c r="B102" s="16" t="inlineStr"/>
      <c r="C102" s="20" t="inlineStr">
        <is>
          <t>D</t>
        </is>
      </c>
      <c r="D102" s="4" t="n"/>
      <c r="E102" s="4" t="n"/>
      <c r="F102" s="4" t="n"/>
      <c r="G102" s="4" t="n"/>
      <c r="H102" s="4" t="n"/>
      <c r="I102" s="4" t="n"/>
      <c r="J102" s="4" t="n"/>
    </row>
    <row r="103" ht="19" customHeight="1">
      <c r="A103" s="15" t="inlineStr">
        <is>
          <t>4주</t>
        </is>
      </c>
      <c r="B103" s="16" t="inlineStr">
        <is>
          <t>11:00-15:00</t>
        </is>
      </c>
      <c r="C103" s="17" t="inlineStr">
        <is>
          <t>A</t>
        </is>
      </c>
      <c r="D103" s="22" t="inlineStr">
        <is>
          <t>수업 시간</t>
        </is>
      </c>
      <c r="E103" s="23" t="n"/>
      <c r="F103" s="23" t="n"/>
      <c r="G103" s="23" t="n"/>
      <c r="H103" s="23" t="n"/>
      <c r="I103" s="4" t="n"/>
      <c r="J103" s="4" t="n"/>
    </row>
    <row r="104" ht="19" customHeight="1">
      <c r="A104" s="15" t="inlineStr">
        <is>
          <t>4주</t>
        </is>
      </c>
      <c r="B104" s="16" t="inlineStr"/>
      <c r="C104" s="18" t="inlineStr">
        <is>
          <t>B</t>
        </is>
      </c>
      <c r="D104" s="23" t="n"/>
      <c r="E104" s="23" t="n"/>
      <c r="F104" s="23" t="n"/>
      <c r="G104" s="23" t="n"/>
      <c r="H104" s="23" t="n"/>
      <c r="I104" s="4" t="n"/>
      <c r="J104" s="4" t="n"/>
    </row>
    <row r="105" ht="19" customHeight="1">
      <c r="A105" s="15" t="inlineStr">
        <is>
          <t>4주</t>
        </is>
      </c>
      <c r="B105" s="16" t="inlineStr"/>
      <c r="C105" s="19" t="inlineStr">
        <is>
          <t>C</t>
        </is>
      </c>
      <c r="D105" s="23" t="n"/>
      <c r="E105" s="23" t="n"/>
      <c r="F105" s="23" t="n"/>
      <c r="G105" s="23" t="n"/>
      <c r="H105" s="23" t="n"/>
      <c r="I105" s="4" t="n"/>
      <c r="J105" s="4" t="n"/>
    </row>
    <row r="106" ht="19" customHeight="1">
      <c r="A106" s="15" t="inlineStr">
        <is>
          <t>4주</t>
        </is>
      </c>
      <c r="B106" s="16" t="inlineStr"/>
      <c r="C106" s="20" t="inlineStr">
        <is>
          <t>D</t>
        </is>
      </c>
      <c r="D106" s="23" t="n"/>
      <c r="E106" s="23" t="n"/>
      <c r="F106" s="23" t="n"/>
      <c r="G106" s="23" t="n"/>
      <c r="H106" s="23" t="n"/>
      <c r="I106" s="4" t="n"/>
      <c r="J106" s="4" t="n"/>
    </row>
    <row r="107" ht="19" customHeight="1">
      <c r="A107" s="15" t="inlineStr">
        <is>
          <t>4주</t>
        </is>
      </c>
      <c r="B107" s="16" t="inlineStr">
        <is>
          <t>15:00-19:00</t>
        </is>
      </c>
      <c r="C107" s="17" t="inlineStr">
        <is>
          <t>A</t>
        </is>
      </c>
      <c r="D107" s="22" t="inlineStr">
        <is>
          <t>수업 시간</t>
        </is>
      </c>
      <c r="E107" s="23" t="n"/>
      <c r="F107" s="23" t="n"/>
      <c r="G107" s="23" t="n"/>
      <c r="H107" s="23" t="n"/>
      <c r="I107" s="4" t="n"/>
      <c r="J107" s="4" t="n"/>
    </row>
    <row r="108" ht="19" customHeight="1">
      <c r="A108" s="15" t="inlineStr">
        <is>
          <t>4주</t>
        </is>
      </c>
      <c r="B108" s="16" t="inlineStr"/>
      <c r="C108" s="18" t="inlineStr">
        <is>
          <t>B</t>
        </is>
      </c>
      <c r="D108" s="23" t="n"/>
      <c r="E108" s="23" t="n"/>
      <c r="F108" s="23" t="n"/>
      <c r="G108" s="23" t="n"/>
      <c r="H108" s="23" t="n"/>
      <c r="I108" s="4" t="n"/>
      <c r="J108" s="4" t="n"/>
    </row>
    <row r="109" ht="19" customHeight="1">
      <c r="A109" s="15" t="inlineStr">
        <is>
          <t>4주</t>
        </is>
      </c>
      <c r="B109" s="16" t="inlineStr"/>
      <c r="C109" s="19" t="inlineStr">
        <is>
          <t>C</t>
        </is>
      </c>
      <c r="D109" s="23" t="n"/>
      <c r="E109" s="23" t="n"/>
      <c r="F109" s="23" t="n"/>
      <c r="G109" s="23" t="n"/>
      <c r="H109" s="23" t="n"/>
      <c r="I109" s="4" t="n"/>
      <c r="J109" s="4" t="n"/>
    </row>
    <row r="110" ht="19" customHeight="1">
      <c r="A110" s="15" t="inlineStr">
        <is>
          <t>4주</t>
        </is>
      </c>
      <c r="B110" s="16" t="inlineStr"/>
      <c r="C110" s="20" t="inlineStr">
        <is>
          <t>D</t>
        </is>
      </c>
      <c r="D110" s="23" t="n"/>
      <c r="E110" s="23" t="n"/>
      <c r="F110" s="23" t="n"/>
      <c r="G110" s="23" t="n"/>
      <c r="H110" s="23" t="n"/>
      <c r="I110" s="4" t="n"/>
      <c r="J110" s="4" t="n"/>
    </row>
    <row r="112">
      <c r="A112" s="24" t="inlineStr">
        <is>
          <t>노란 칸은 심야 블록입니다. 가장 한가하니 적극 활용하세요 — 렌더는 지켜보지 않아도 돌아갑니다.</t>
        </is>
      </c>
    </row>
    <row r="113">
      <c r="A113" s="2" t="inlineStr">
        <is>
          <t>그룹 A·B·C·D 는 서로 다른 PC 묶음입니다. 같은 시간대에 네 팀이 동시에 렌더할 수 있습니다.</t>
        </is>
      </c>
    </row>
  </sheetData>
  <mergeCells count="4">
    <mergeCell ref="A58:J58"/>
    <mergeCell ref="A85:J85"/>
    <mergeCell ref="A4:J4"/>
    <mergeCell ref="A31:J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6" customHeight="1">
      <c r="A1" s="1" t="inlineStr">
        <is>
          <t>사용 현황</t>
        </is>
      </c>
    </row>
    <row r="2">
      <c r="A2" s="2" t="inlineStr">
        <is>
          <t>신청서와 예약표에서 자동으로 계산됩니다.  남은 블럭이 빨간색이면 상한을 초과한 것입니다.</t>
        </is>
      </c>
    </row>
    <row r="4" ht="30" customHeight="1">
      <c r="A4" s="3" t="inlineStr">
        <is>
          <t>팀 프로젝트명</t>
        </is>
      </c>
      <c r="B4" s="3" t="inlineStr">
        <is>
          <t>학번</t>
        </is>
      </c>
      <c r="C4" s="3" t="inlineStr">
        <is>
          <t>주 최대</t>
        </is>
      </c>
      <c r="D4" s="3" t="inlineStr">
        <is>
          <t>1주차 사용</t>
        </is>
      </c>
      <c r="E4" s="3" t="inlineStr">
        <is>
          <t>2주차 사용</t>
        </is>
      </c>
      <c r="F4" s="3" t="inlineStr">
        <is>
          <t>3주차 사용</t>
        </is>
      </c>
      <c r="G4" s="3" t="inlineStr">
        <is>
          <t>4주차 사용</t>
        </is>
      </c>
      <c r="H4" s="3" t="inlineStr">
        <is>
          <t>1주차 남음</t>
        </is>
      </c>
      <c r="I4" s="3" t="inlineStr">
        <is>
          <t>2주차 남음</t>
        </is>
      </c>
      <c r="J4" s="3" t="inlineStr">
        <is>
          <t>3주차 남음</t>
        </is>
      </c>
      <c r="K4" s="3" t="inlineStr">
        <is>
          <t>4주차 남음</t>
        </is>
      </c>
    </row>
    <row r="5">
      <c r="A5" s="5">
        <f>IF('01_신청서'!B5="","",'01_신청서'!B5)</f>
        <v/>
      </c>
      <c r="B5" s="4">
        <f>IF('01_신청서'!C5="","",'01_신청서'!C5)</f>
        <v/>
      </c>
      <c r="C5" s="4">
        <f>IF('01_신청서'!G5="","",'01_신청서'!G5)</f>
        <v/>
      </c>
      <c r="D5" s="4">
        <f>IF($B5="","",COUNTIF('02_예약표'!$D$6:$J$29,$B5))</f>
        <v/>
      </c>
      <c r="E5" s="4">
        <f>IF($B5="","",COUNTIF('02_예약표'!$D$33:$J$56,$B5))</f>
        <v/>
      </c>
      <c r="F5" s="4">
        <f>IF($B5="","",COUNTIF('02_예약표'!$D$60:$J$83,$B5))</f>
        <v/>
      </c>
      <c r="G5" s="4">
        <f>IF($B5="","",COUNTIF('02_예약표'!$D$87:$J$110,$B5))</f>
        <v/>
      </c>
      <c r="H5" s="15">
        <f>IF($B5="","",$C5-D5)</f>
        <v/>
      </c>
      <c r="I5" s="15">
        <f>IF($B5="","",$C5-E5)</f>
        <v/>
      </c>
      <c r="J5" s="15">
        <f>IF($B5="","",$C5-F5)</f>
        <v/>
      </c>
      <c r="K5" s="15">
        <f>IF($B5="","",$C5-G5)</f>
        <v/>
      </c>
    </row>
    <row r="6">
      <c r="A6" s="5">
        <f>IF('01_신청서'!B6="","",'01_신청서'!B6)</f>
        <v/>
      </c>
      <c r="B6" s="4">
        <f>IF('01_신청서'!C6="","",'01_신청서'!C6)</f>
        <v/>
      </c>
      <c r="C6" s="4">
        <f>IF('01_신청서'!G6="","",'01_신청서'!G6)</f>
        <v/>
      </c>
      <c r="D6" s="4">
        <f>IF($B6="","",COUNTIF('02_예약표'!$D$6:$J$29,$B6))</f>
        <v/>
      </c>
      <c r="E6" s="4">
        <f>IF($B6="","",COUNTIF('02_예약표'!$D$33:$J$56,$B6))</f>
        <v/>
      </c>
      <c r="F6" s="4">
        <f>IF($B6="","",COUNTIF('02_예약표'!$D$60:$J$83,$B6))</f>
        <v/>
      </c>
      <c r="G6" s="4">
        <f>IF($B6="","",COUNTIF('02_예약표'!$D$87:$J$110,$B6))</f>
        <v/>
      </c>
      <c r="H6" s="15">
        <f>IF($B6="","",$C6-D6)</f>
        <v/>
      </c>
      <c r="I6" s="15">
        <f>IF($B6="","",$C6-E6)</f>
        <v/>
      </c>
      <c r="J6" s="15">
        <f>IF($B6="","",$C6-F6)</f>
        <v/>
      </c>
      <c r="K6" s="15">
        <f>IF($B6="","",$C6-G6)</f>
        <v/>
      </c>
    </row>
    <row r="7">
      <c r="A7" s="5">
        <f>IF('01_신청서'!B7="","",'01_신청서'!B7)</f>
        <v/>
      </c>
      <c r="B7" s="4">
        <f>IF('01_신청서'!C7="","",'01_신청서'!C7)</f>
        <v/>
      </c>
      <c r="C7" s="4">
        <f>IF('01_신청서'!G7="","",'01_신청서'!G7)</f>
        <v/>
      </c>
      <c r="D7" s="4">
        <f>IF($B7="","",COUNTIF('02_예약표'!$D$6:$J$29,$B7))</f>
        <v/>
      </c>
      <c r="E7" s="4">
        <f>IF($B7="","",COUNTIF('02_예약표'!$D$33:$J$56,$B7))</f>
        <v/>
      </c>
      <c r="F7" s="4">
        <f>IF($B7="","",COUNTIF('02_예약표'!$D$60:$J$83,$B7))</f>
        <v/>
      </c>
      <c r="G7" s="4">
        <f>IF($B7="","",COUNTIF('02_예약표'!$D$87:$J$110,$B7))</f>
        <v/>
      </c>
      <c r="H7" s="15">
        <f>IF($B7="","",$C7-D7)</f>
        <v/>
      </c>
      <c r="I7" s="15">
        <f>IF($B7="","",$C7-E7)</f>
        <v/>
      </c>
      <c r="J7" s="15">
        <f>IF($B7="","",$C7-F7)</f>
        <v/>
      </c>
      <c r="K7" s="15">
        <f>IF($B7="","",$C7-G7)</f>
        <v/>
      </c>
    </row>
    <row r="8">
      <c r="A8" s="5">
        <f>IF('01_신청서'!B8="","",'01_신청서'!B8)</f>
        <v/>
      </c>
      <c r="B8" s="4">
        <f>IF('01_신청서'!C8="","",'01_신청서'!C8)</f>
        <v/>
      </c>
      <c r="C8" s="4">
        <f>IF('01_신청서'!G8="","",'01_신청서'!G8)</f>
        <v/>
      </c>
      <c r="D8" s="4">
        <f>IF($B8="","",COUNTIF('02_예약표'!$D$6:$J$29,$B8))</f>
        <v/>
      </c>
      <c r="E8" s="4">
        <f>IF($B8="","",COUNTIF('02_예약표'!$D$33:$J$56,$B8))</f>
        <v/>
      </c>
      <c r="F8" s="4">
        <f>IF($B8="","",COUNTIF('02_예약표'!$D$60:$J$83,$B8))</f>
        <v/>
      </c>
      <c r="G8" s="4">
        <f>IF($B8="","",COUNTIF('02_예약표'!$D$87:$J$110,$B8))</f>
        <v/>
      </c>
      <c r="H8" s="15">
        <f>IF($B8="","",$C8-D8)</f>
        <v/>
      </c>
      <c r="I8" s="15">
        <f>IF($B8="","",$C8-E8)</f>
        <v/>
      </c>
      <c r="J8" s="15">
        <f>IF($B8="","",$C8-F8)</f>
        <v/>
      </c>
      <c r="K8" s="15">
        <f>IF($B8="","",$C8-G8)</f>
        <v/>
      </c>
    </row>
    <row r="9">
      <c r="A9" s="5">
        <f>IF('01_신청서'!B9="","",'01_신청서'!B9)</f>
        <v/>
      </c>
      <c r="B9" s="4">
        <f>IF('01_신청서'!C9="","",'01_신청서'!C9)</f>
        <v/>
      </c>
      <c r="C9" s="4">
        <f>IF('01_신청서'!G9="","",'01_신청서'!G9)</f>
        <v/>
      </c>
      <c r="D9" s="4">
        <f>IF($B9="","",COUNTIF('02_예약표'!$D$6:$J$29,$B9))</f>
        <v/>
      </c>
      <c r="E9" s="4">
        <f>IF($B9="","",COUNTIF('02_예약표'!$D$33:$J$56,$B9))</f>
        <v/>
      </c>
      <c r="F9" s="4">
        <f>IF($B9="","",COUNTIF('02_예약표'!$D$60:$J$83,$B9))</f>
        <v/>
      </c>
      <c r="G9" s="4">
        <f>IF($B9="","",COUNTIF('02_예약표'!$D$87:$J$110,$B9))</f>
        <v/>
      </c>
      <c r="H9" s="15">
        <f>IF($B9="","",$C9-D9)</f>
        <v/>
      </c>
      <c r="I9" s="15">
        <f>IF($B9="","",$C9-E9)</f>
        <v/>
      </c>
      <c r="J9" s="15">
        <f>IF($B9="","",$C9-F9)</f>
        <v/>
      </c>
      <c r="K9" s="15">
        <f>IF($B9="","",$C9-G9)</f>
        <v/>
      </c>
    </row>
    <row r="10">
      <c r="A10" s="5">
        <f>IF('01_신청서'!B10="","",'01_신청서'!B10)</f>
        <v/>
      </c>
      <c r="B10" s="4">
        <f>IF('01_신청서'!C10="","",'01_신청서'!C10)</f>
        <v/>
      </c>
      <c r="C10" s="4">
        <f>IF('01_신청서'!G10="","",'01_신청서'!G10)</f>
        <v/>
      </c>
      <c r="D10" s="4">
        <f>IF($B10="","",COUNTIF('02_예약표'!$D$6:$J$29,$B10))</f>
        <v/>
      </c>
      <c r="E10" s="4">
        <f>IF($B10="","",COUNTIF('02_예약표'!$D$33:$J$56,$B10))</f>
        <v/>
      </c>
      <c r="F10" s="4">
        <f>IF($B10="","",COUNTIF('02_예약표'!$D$60:$J$83,$B10))</f>
        <v/>
      </c>
      <c r="G10" s="4">
        <f>IF($B10="","",COUNTIF('02_예약표'!$D$87:$J$110,$B10))</f>
        <v/>
      </c>
      <c r="H10" s="15">
        <f>IF($B10="","",$C10-D10)</f>
        <v/>
      </c>
      <c r="I10" s="15">
        <f>IF($B10="","",$C10-E10)</f>
        <v/>
      </c>
      <c r="J10" s="15">
        <f>IF($B10="","",$C10-F10)</f>
        <v/>
      </c>
      <c r="K10" s="15">
        <f>IF($B10="","",$C10-G10)</f>
        <v/>
      </c>
    </row>
    <row r="11">
      <c r="A11" s="5">
        <f>IF('01_신청서'!B11="","",'01_신청서'!B11)</f>
        <v/>
      </c>
      <c r="B11" s="4">
        <f>IF('01_신청서'!C11="","",'01_신청서'!C11)</f>
        <v/>
      </c>
      <c r="C11" s="4">
        <f>IF('01_신청서'!G11="","",'01_신청서'!G11)</f>
        <v/>
      </c>
      <c r="D11" s="4">
        <f>IF($B11="","",COUNTIF('02_예약표'!$D$6:$J$29,$B11))</f>
        <v/>
      </c>
      <c r="E11" s="4">
        <f>IF($B11="","",COUNTIF('02_예약표'!$D$33:$J$56,$B11))</f>
        <v/>
      </c>
      <c r="F11" s="4">
        <f>IF($B11="","",COUNTIF('02_예약표'!$D$60:$J$83,$B11))</f>
        <v/>
      </c>
      <c r="G11" s="4">
        <f>IF($B11="","",COUNTIF('02_예약표'!$D$87:$J$110,$B11))</f>
        <v/>
      </c>
      <c r="H11" s="15">
        <f>IF($B11="","",$C11-D11)</f>
        <v/>
      </c>
      <c r="I11" s="15">
        <f>IF($B11="","",$C11-E11)</f>
        <v/>
      </c>
      <c r="J11" s="15">
        <f>IF($B11="","",$C11-F11)</f>
        <v/>
      </c>
      <c r="K11" s="15">
        <f>IF($B11="","",$C11-G11)</f>
        <v/>
      </c>
    </row>
    <row r="12">
      <c r="A12" s="5">
        <f>IF('01_신청서'!B12="","",'01_신청서'!B12)</f>
        <v/>
      </c>
      <c r="B12" s="4">
        <f>IF('01_신청서'!C12="","",'01_신청서'!C12)</f>
        <v/>
      </c>
      <c r="C12" s="4">
        <f>IF('01_신청서'!G12="","",'01_신청서'!G12)</f>
        <v/>
      </c>
      <c r="D12" s="4">
        <f>IF($B12="","",COUNTIF('02_예약표'!$D$6:$J$29,$B12))</f>
        <v/>
      </c>
      <c r="E12" s="4">
        <f>IF($B12="","",COUNTIF('02_예약표'!$D$33:$J$56,$B12))</f>
        <v/>
      </c>
      <c r="F12" s="4">
        <f>IF($B12="","",COUNTIF('02_예약표'!$D$60:$J$83,$B12))</f>
        <v/>
      </c>
      <c r="G12" s="4">
        <f>IF($B12="","",COUNTIF('02_예약표'!$D$87:$J$110,$B12))</f>
        <v/>
      </c>
      <c r="H12" s="15">
        <f>IF($B12="","",$C12-D12)</f>
        <v/>
      </c>
      <c r="I12" s="15">
        <f>IF($B12="","",$C12-E12)</f>
        <v/>
      </c>
      <c r="J12" s="15">
        <f>IF($B12="","",$C12-F12)</f>
        <v/>
      </c>
      <c r="K12" s="15">
        <f>IF($B12="","",$C12-G12)</f>
        <v/>
      </c>
    </row>
    <row r="13">
      <c r="A13" s="5">
        <f>IF('01_신청서'!B13="","",'01_신청서'!B13)</f>
        <v/>
      </c>
      <c r="B13" s="4">
        <f>IF('01_신청서'!C13="","",'01_신청서'!C13)</f>
        <v/>
      </c>
      <c r="C13" s="4">
        <f>IF('01_신청서'!G13="","",'01_신청서'!G13)</f>
        <v/>
      </c>
      <c r="D13" s="4">
        <f>IF($B13="","",COUNTIF('02_예약표'!$D$6:$J$29,$B13))</f>
        <v/>
      </c>
      <c r="E13" s="4">
        <f>IF($B13="","",COUNTIF('02_예약표'!$D$33:$J$56,$B13))</f>
        <v/>
      </c>
      <c r="F13" s="4">
        <f>IF($B13="","",COUNTIF('02_예약표'!$D$60:$J$83,$B13))</f>
        <v/>
      </c>
      <c r="G13" s="4">
        <f>IF($B13="","",COUNTIF('02_예약표'!$D$87:$J$110,$B13))</f>
        <v/>
      </c>
      <c r="H13" s="15">
        <f>IF($B13="","",$C13-D13)</f>
        <v/>
      </c>
      <c r="I13" s="15">
        <f>IF($B13="","",$C13-E13)</f>
        <v/>
      </c>
      <c r="J13" s="15">
        <f>IF($B13="","",$C13-F13)</f>
        <v/>
      </c>
      <c r="K13" s="15">
        <f>IF($B13="","",$C13-G13)</f>
        <v/>
      </c>
    </row>
    <row r="14">
      <c r="A14" s="5">
        <f>IF('01_신청서'!B14="","",'01_신청서'!B14)</f>
        <v/>
      </c>
      <c r="B14" s="4">
        <f>IF('01_신청서'!C14="","",'01_신청서'!C14)</f>
        <v/>
      </c>
      <c r="C14" s="4">
        <f>IF('01_신청서'!G14="","",'01_신청서'!G14)</f>
        <v/>
      </c>
      <c r="D14" s="4">
        <f>IF($B14="","",COUNTIF('02_예약표'!$D$6:$J$29,$B14))</f>
        <v/>
      </c>
      <c r="E14" s="4">
        <f>IF($B14="","",COUNTIF('02_예약표'!$D$33:$J$56,$B14))</f>
        <v/>
      </c>
      <c r="F14" s="4">
        <f>IF($B14="","",COUNTIF('02_예약표'!$D$60:$J$83,$B14))</f>
        <v/>
      </c>
      <c r="G14" s="4">
        <f>IF($B14="","",COUNTIF('02_예약표'!$D$87:$J$110,$B14))</f>
        <v/>
      </c>
      <c r="H14" s="15">
        <f>IF($B14="","",$C14-D14)</f>
        <v/>
      </c>
      <c r="I14" s="15">
        <f>IF($B14="","",$C14-E14)</f>
        <v/>
      </c>
      <c r="J14" s="15">
        <f>IF($B14="","",$C14-F14)</f>
        <v/>
      </c>
      <c r="K14" s="15">
        <f>IF($B14="","",$C14-G14)</f>
        <v/>
      </c>
    </row>
    <row r="15">
      <c r="A15" s="5">
        <f>IF('01_신청서'!B15="","",'01_신청서'!B15)</f>
        <v/>
      </c>
      <c r="B15" s="4">
        <f>IF('01_신청서'!C15="","",'01_신청서'!C15)</f>
        <v/>
      </c>
      <c r="C15" s="4">
        <f>IF('01_신청서'!G15="","",'01_신청서'!G15)</f>
        <v/>
      </c>
      <c r="D15" s="4">
        <f>IF($B15="","",COUNTIF('02_예약표'!$D$6:$J$29,$B15))</f>
        <v/>
      </c>
      <c r="E15" s="4">
        <f>IF($B15="","",COUNTIF('02_예약표'!$D$33:$J$56,$B15))</f>
        <v/>
      </c>
      <c r="F15" s="4">
        <f>IF($B15="","",COUNTIF('02_예약표'!$D$60:$J$83,$B15))</f>
        <v/>
      </c>
      <c r="G15" s="4">
        <f>IF($B15="","",COUNTIF('02_예약표'!$D$87:$J$110,$B15))</f>
        <v/>
      </c>
      <c r="H15" s="15">
        <f>IF($B15="","",$C15-D15)</f>
        <v/>
      </c>
      <c r="I15" s="15">
        <f>IF($B15="","",$C15-E15)</f>
        <v/>
      </c>
      <c r="J15" s="15">
        <f>IF($B15="","",$C15-F15)</f>
        <v/>
      </c>
      <c r="K15" s="15">
        <f>IF($B15="","",$C15-G15)</f>
        <v/>
      </c>
    </row>
    <row r="16">
      <c r="A16" s="5">
        <f>IF('01_신청서'!B16="","",'01_신청서'!B16)</f>
        <v/>
      </c>
      <c r="B16" s="4">
        <f>IF('01_신청서'!C16="","",'01_신청서'!C16)</f>
        <v/>
      </c>
      <c r="C16" s="4">
        <f>IF('01_신청서'!G16="","",'01_신청서'!G16)</f>
        <v/>
      </c>
      <c r="D16" s="4">
        <f>IF($B16="","",COUNTIF('02_예약표'!$D$6:$J$29,$B16))</f>
        <v/>
      </c>
      <c r="E16" s="4">
        <f>IF($B16="","",COUNTIF('02_예약표'!$D$33:$J$56,$B16))</f>
        <v/>
      </c>
      <c r="F16" s="4">
        <f>IF($B16="","",COUNTIF('02_예약표'!$D$60:$J$83,$B16))</f>
        <v/>
      </c>
      <c r="G16" s="4">
        <f>IF($B16="","",COUNTIF('02_예약표'!$D$87:$J$110,$B16))</f>
        <v/>
      </c>
      <c r="H16" s="15">
        <f>IF($B16="","",$C16-D16)</f>
        <v/>
      </c>
      <c r="I16" s="15">
        <f>IF($B16="","",$C16-E16)</f>
        <v/>
      </c>
      <c r="J16" s="15">
        <f>IF($B16="","",$C16-F16)</f>
        <v/>
      </c>
      <c r="K16" s="15">
        <f>IF($B16="","",$C16-G16)</f>
        <v/>
      </c>
    </row>
    <row r="17">
      <c r="A17" s="5">
        <f>IF('01_신청서'!B17="","",'01_신청서'!B17)</f>
        <v/>
      </c>
      <c r="B17" s="4">
        <f>IF('01_신청서'!C17="","",'01_신청서'!C17)</f>
        <v/>
      </c>
      <c r="C17" s="4">
        <f>IF('01_신청서'!G17="","",'01_신청서'!G17)</f>
        <v/>
      </c>
      <c r="D17" s="4">
        <f>IF($B17="","",COUNTIF('02_예약표'!$D$6:$J$29,$B17))</f>
        <v/>
      </c>
      <c r="E17" s="4">
        <f>IF($B17="","",COUNTIF('02_예약표'!$D$33:$J$56,$B17))</f>
        <v/>
      </c>
      <c r="F17" s="4">
        <f>IF($B17="","",COUNTIF('02_예약표'!$D$60:$J$83,$B17))</f>
        <v/>
      </c>
      <c r="G17" s="4">
        <f>IF($B17="","",COUNTIF('02_예약표'!$D$87:$J$110,$B17))</f>
        <v/>
      </c>
      <c r="H17" s="15">
        <f>IF($B17="","",$C17-D17)</f>
        <v/>
      </c>
      <c r="I17" s="15">
        <f>IF($B17="","",$C17-E17)</f>
        <v/>
      </c>
      <c r="J17" s="15">
        <f>IF($B17="","",$C17-F17)</f>
        <v/>
      </c>
      <c r="K17" s="15">
        <f>IF($B17="","",$C17-G17)</f>
        <v/>
      </c>
    </row>
    <row r="18">
      <c r="A18" s="5">
        <f>IF('01_신청서'!B18="","",'01_신청서'!B18)</f>
        <v/>
      </c>
      <c r="B18" s="4">
        <f>IF('01_신청서'!C18="","",'01_신청서'!C18)</f>
        <v/>
      </c>
      <c r="C18" s="4">
        <f>IF('01_신청서'!G18="","",'01_신청서'!G18)</f>
        <v/>
      </c>
      <c r="D18" s="4">
        <f>IF($B18="","",COUNTIF('02_예약표'!$D$6:$J$29,$B18))</f>
        <v/>
      </c>
      <c r="E18" s="4">
        <f>IF($B18="","",COUNTIF('02_예약표'!$D$33:$J$56,$B18))</f>
        <v/>
      </c>
      <c r="F18" s="4">
        <f>IF($B18="","",COUNTIF('02_예약표'!$D$60:$J$83,$B18))</f>
        <v/>
      </c>
      <c r="G18" s="4">
        <f>IF($B18="","",COUNTIF('02_예약표'!$D$87:$J$110,$B18))</f>
        <v/>
      </c>
      <c r="H18" s="15">
        <f>IF($B18="","",$C18-D18)</f>
        <v/>
      </c>
      <c r="I18" s="15">
        <f>IF($B18="","",$C18-E18)</f>
        <v/>
      </c>
      <c r="J18" s="15">
        <f>IF($B18="","",$C18-F18)</f>
        <v/>
      </c>
      <c r="K18" s="15">
        <f>IF($B18="","",$C18-G18)</f>
        <v/>
      </c>
    </row>
    <row r="19">
      <c r="A19" s="5">
        <f>IF('01_신청서'!B19="","",'01_신청서'!B19)</f>
        <v/>
      </c>
      <c r="B19" s="4">
        <f>IF('01_신청서'!C19="","",'01_신청서'!C19)</f>
        <v/>
      </c>
      <c r="C19" s="4">
        <f>IF('01_신청서'!G19="","",'01_신청서'!G19)</f>
        <v/>
      </c>
      <c r="D19" s="4">
        <f>IF($B19="","",COUNTIF('02_예약표'!$D$6:$J$29,$B19))</f>
        <v/>
      </c>
      <c r="E19" s="4">
        <f>IF($B19="","",COUNTIF('02_예약표'!$D$33:$J$56,$B19))</f>
        <v/>
      </c>
      <c r="F19" s="4">
        <f>IF($B19="","",COUNTIF('02_예약표'!$D$60:$J$83,$B19))</f>
        <v/>
      </c>
      <c r="G19" s="4">
        <f>IF($B19="","",COUNTIF('02_예약표'!$D$87:$J$110,$B19))</f>
        <v/>
      </c>
      <c r="H19" s="15">
        <f>IF($B19="","",$C19-D19)</f>
        <v/>
      </c>
      <c r="I19" s="15">
        <f>IF($B19="","",$C19-E19)</f>
        <v/>
      </c>
      <c r="J19" s="15">
        <f>IF($B19="","",$C19-F19)</f>
        <v/>
      </c>
      <c r="K19" s="15">
        <f>IF($B19="","",$C19-G19)</f>
        <v/>
      </c>
    </row>
    <row r="20">
      <c r="A20" s="5">
        <f>IF('01_신청서'!B20="","",'01_신청서'!B20)</f>
        <v/>
      </c>
      <c r="B20" s="4">
        <f>IF('01_신청서'!C20="","",'01_신청서'!C20)</f>
        <v/>
      </c>
      <c r="C20" s="4">
        <f>IF('01_신청서'!G20="","",'01_신청서'!G20)</f>
        <v/>
      </c>
      <c r="D20" s="4">
        <f>IF($B20="","",COUNTIF('02_예약표'!$D$6:$J$29,$B20))</f>
        <v/>
      </c>
      <c r="E20" s="4">
        <f>IF($B20="","",COUNTIF('02_예약표'!$D$33:$J$56,$B20))</f>
        <v/>
      </c>
      <c r="F20" s="4">
        <f>IF($B20="","",COUNTIF('02_예약표'!$D$60:$J$83,$B20))</f>
        <v/>
      </c>
      <c r="G20" s="4">
        <f>IF($B20="","",COUNTIF('02_예약표'!$D$87:$J$110,$B20))</f>
        <v/>
      </c>
      <c r="H20" s="15">
        <f>IF($B20="","",$C20-D20)</f>
        <v/>
      </c>
      <c r="I20" s="15">
        <f>IF($B20="","",$C20-E20)</f>
        <v/>
      </c>
      <c r="J20" s="15">
        <f>IF($B20="","",$C20-F20)</f>
        <v/>
      </c>
      <c r="K20" s="15">
        <f>IF($B20="","",$C20-G20)</f>
        <v/>
      </c>
    </row>
    <row r="21">
      <c r="A21" s="5">
        <f>IF('01_신청서'!B21="","",'01_신청서'!B21)</f>
        <v/>
      </c>
      <c r="B21" s="4">
        <f>IF('01_신청서'!C21="","",'01_신청서'!C21)</f>
        <v/>
      </c>
      <c r="C21" s="4">
        <f>IF('01_신청서'!G21="","",'01_신청서'!G21)</f>
        <v/>
      </c>
      <c r="D21" s="4">
        <f>IF($B21="","",COUNTIF('02_예약표'!$D$6:$J$29,$B21))</f>
        <v/>
      </c>
      <c r="E21" s="4">
        <f>IF($B21="","",COUNTIF('02_예약표'!$D$33:$J$56,$B21))</f>
        <v/>
      </c>
      <c r="F21" s="4">
        <f>IF($B21="","",COUNTIF('02_예약표'!$D$60:$J$83,$B21))</f>
        <v/>
      </c>
      <c r="G21" s="4">
        <f>IF($B21="","",COUNTIF('02_예약표'!$D$87:$J$110,$B21))</f>
        <v/>
      </c>
      <c r="H21" s="15">
        <f>IF($B21="","",$C21-D21)</f>
        <v/>
      </c>
      <c r="I21" s="15">
        <f>IF($B21="","",$C21-E21)</f>
        <v/>
      </c>
      <c r="J21" s="15">
        <f>IF($B21="","",$C21-F21)</f>
        <v/>
      </c>
      <c r="K21" s="15">
        <f>IF($B21="","",$C21-G21)</f>
        <v/>
      </c>
    </row>
    <row r="22">
      <c r="A22" s="5">
        <f>IF('01_신청서'!B22="","",'01_신청서'!B22)</f>
        <v/>
      </c>
      <c r="B22" s="4">
        <f>IF('01_신청서'!C22="","",'01_신청서'!C22)</f>
        <v/>
      </c>
      <c r="C22" s="4">
        <f>IF('01_신청서'!G22="","",'01_신청서'!G22)</f>
        <v/>
      </c>
      <c r="D22" s="4">
        <f>IF($B22="","",COUNTIF('02_예약표'!$D$6:$J$29,$B22))</f>
        <v/>
      </c>
      <c r="E22" s="4">
        <f>IF($B22="","",COUNTIF('02_예약표'!$D$33:$J$56,$B22))</f>
        <v/>
      </c>
      <c r="F22" s="4">
        <f>IF($B22="","",COUNTIF('02_예약표'!$D$60:$J$83,$B22))</f>
        <v/>
      </c>
      <c r="G22" s="4">
        <f>IF($B22="","",COUNTIF('02_예약표'!$D$87:$J$110,$B22))</f>
        <v/>
      </c>
      <c r="H22" s="15">
        <f>IF($B22="","",$C22-D22)</f>
        <v/>
      </c>
      <c r="I22" s="15">
        <f>IF($B22="","",$C22-E22)</f>
        <v/>
      </c>
      <c r="J22" s="15">
        <f>IF($B22="","",$C22-F22)</f>
        <v/>
      </c>
      <c r="K22" s="15">
        <f>IF($B22="","",$C22-G22)</f>
        <v/>
      </c>
    </row>
    <row r="23">
      <c r="A23" s="5">
        <f>IF('01_신청서'!B23="","",'01_신청서'!B23)</f>
        <v/>
      </c>
      <c r="B23" s="4">
        <f>IF('01_신청서'!C23="","",'01_신청서'!C23)</f>
        <v/>
      </c>
      <c r="C23" s="4">
        <f>IF('01_신청서'!G23="","",'01_신청서'!G23)</f>
        <v/>
      </c>
      <c r="D23" s="4">
        <f>IF($B23="","",COUNTIF('02_예약표'!$D$6:$J$29,$B23))</f>
        <v/>
      </c>
      <c r="E23" s="4">
        <f>IF($B23="","",COUNTIF('02_예약표'!$D$33:$J$56,$B23))</f>
        <v/>
      </c>
      <c r="F23" s="4">
        <f>IF($B23="","",COUNTIF('02_예약표'!$D$60:$J$83,$B23))</f>
        <v/>
      </c>
      <c r="G23" s="4">
        <f>IF($B23="","",COUNTIF('02_예약표'!$D$87:$J$110,$B23))</f>
        <v/>
      </c>
      <c r="H23" s="15">
        <f>IF($B23="","",$C23-D23)</f>
        <v/>
      </c>
      <c r="I23" s="15">
        <f>IF($B23="","",$C23-E23)</f>
        <v/>
      </c>
      <c r="J23" s="15">
        <f>IF($B23="","",$C23-F23)</f>
        <v/>
      </c>
      <c r="K23" s="15">
        <f>IF($B23="","",$C23-G23)</f>
        <v/>
      </c>
    </row>
    <row r="24">
      <c r="A24" s="5">
        <f>IF('01_신청서'!B24="","",'01_신청서'!B24)</f>
        <v/>
      </c>
      <c r="B24" s="4">
        <f>IF('01_신청서'!C24="","",'01_신청서'!C24)</f>
        <v/>
      </c>
      <c r="C24" s="4">
        <f>IF('01_신청서'!G24="","",'01_신청서'!G24)</f>
        <v/>
      </c>
      <c r="D24" s="4">
        <f>IF($B24="","",COUNTIF('02_예약표'!$D$6:$J$29,$B24))</f>
        <v/>
      </c>
      <c r="E24" s="4">
        <f>IF($B24="","",COUNTIF('02_예약표'!$D$33:$J$56,$B24))</f>
        <v/>
      </c>
      <c r="F24" s="4">
        <f>IF($B24="","",COUNTIF('02_예약표'!$D$60:$J$83,$B24))</f>
        <v/>
      </c>
      <c r="G24" s="4">
        <f>IF($B24="","",COUNTIF('02_예약표'!$D$87:$J$110,$B24))</f>
        <v/>
      </c>
      <c r="H24" s="15">
        <f>IF($B24="","",$C24-D24)</f>
        <v/>
      </c>
      <c r="I24" s="15">
        <f>IF($B24="","",$C24-E24)</f>
        <v/>
      </c>
      <c r="J24" s="15">
        <f>IF($B24="","",$C24-F24)</f>
        <v/>
      </c>
      <c r="K24" s="15">
        <f>IF($B24="","",$C24-G24)</f>
        <v/>
      </c>
    </row>
    <row r="25">
      <c r="A25" s="5">
        <f>IF('01_신청서'!B25="","",'01_신청서'!B25)</f>
        <v/>
      </c>
      <c r="B25" s="4">
        <f>IF('01_신청서'!C25="","",'01_신청서'!C25)</f>
        <v/>
      </c>
      <c r="C25" s="4">
        <f>IF('01_신청서'!G25="","",'01_신청서'!G25)</f>
        <v/>
      </c>
      <c r="D25" s="4">
        <f>IF($B25="","",COUNTIF('02_예약표'!$D$6:$J$29,$B25))</f>
        <v/>
      </c>
      <c r="E25" s="4">
        <f>IF($B25="","",COUNTIF('02_예약표'!$D$33:$J$56,$B25))</f>
        <v/>
      </c>
      <c r="F25" s="4">
        <f>IF($B25="","",COUNTIF('02_예약표'!$D$60:$J$83,$B25))</f>
        <v/>
      </c>
      <c r="G25" s="4">
        <f>IF($B25="","",COUNTIF('02_예약표'!$D$87:$J$110,$B25))</f>
        <v/>
      </c>
      <c r="H25" s="15">
        <f>IF($B25="","",$C25-D25)</f>
        <v/>
      </c>
      <c r="I25" s="15">
        <f>IF($B25="","",$C25-E25)</f>
        <v/>
      </c>
      <c r="J25" s="15">
        <f>IF($B25="","",$C25-F25)</f>
        <v/>
      </c>
      <c r="K25" s="15">
        <f>IF($B25="","",$C25-G25)</f>
        <v/>
      </c>
    </row>
    <row r="26">
      <c r="A26" s="5">
        <f>IF('01_신청서'!B26="","",'01_신청서'!B26)</f>
        <v/>
      </c>
      <c r="B26" s="4">
        <f>IF('01_신청서'!C26="","",'01_신청서'!C26)</f>
        <v/>
      </c>
      <c r="C26" s="4">
        <f>IF('01_신청서'!G26="","",'01_신청서'!G26)</f>
        <v/>
      </c>
      <c r="D26" s="4">
        <f>IF($B26="","",COUNTIF('02_예약표'!$D$6:$J$29,$B26))</f>
        <v/>
      </c>
      <c r="E26" s="4">
        <f>IF($B26="","",COUNTIF('02_예약표'!$D$33:$J$56,$B26))</f>
        <v/>
      </c>
      <c r="F26" s="4">
        <f>IF($B26="","",COUNTIF('02_예약표'!$D$60:$J$83,$B26))</f>
        <v/>
      </c>
      <c r="G26" s="4">
        <f>IF($B26="","",COUNTIF('02_예약표'!$D$87:$J$110,$B26))</f>
        <v/>
      </c>
      <c r="H26" s="15">
        <f>IF($B26="","",$C26-D26)</f>
        <v/>
      </c>
      <c r="I26" s="15">
        <f>IF($B26="","",$C26-E26)</f>
        <v/>
      </c>
      <c r="J26" s="15">
        <f>IF($B26="","",$C26-F26)</f>
        <v/>
      </c>
      <c r="K26" s="15">
        <f>IF($B26="","",$C26-G26)</f>
        <v/>
      </c>
    </row>
    <row r="27">
      <c r="A27" s="5">
        <f>IF('01_신청서'!B27="","",'01_신청서'!B27)</f>
        <v/>
      </c>
      <c r="B27" s="4">
        <f>IF('01_신청서'!C27="","",'01_신청서'!C27)</f>
        <v/>
      </c>
      <c r="C27" s="4">
        <f>IF('01_신청서'!G27="","",'01_신청서'!G27)</f>
        <v/>
      </c>
      <c r="D27" s="4">
        <f>IF($B27="","",COUNTIF('02_예약표'!$D$6:$J$29,$B27))</f>
        <v/>
      </c>
      <c r="E27" s="4">
        <f>IF($B27="","",COUNTIF('02_예약표'!$D$33:$J$56,$B27))</f>
        <v/>
      </c>
      <c r="F27" s="4">
        <f>IF($B27="","",COUNTIF('02_예약표'!$D$60:$J$83,$B27))</f>
        <v/>
      </c>
      <c r="G27" s="4">
        <f>IF($B27="","",COUNTIF('02_예약표'!$D$87:$J$110,$B27))</f>
        <v/>
      </c>
      <c r="H27" s="15">
        <f>IF($B27="","",$C27-D27)</f>
        <v/>
      </c>
      <c r="I27" s="15">
        <f>IF($B27="","",$C27-E27)</f>
        <v/>
      </c>
      <c r="J27" s="15">
        <f>IF($B27="","",$C27-F27)</f>
        <v/>
      </c>
      <c r="K27" s="15">
        <f>IF($B27="","",$C27-G27)</f>
        <v/>
      </c>
    </row>
    <row r="28">
      <c r="A28" s="5">
        <f>IF('01_신청서'!B28="","",'01_신청서'!B28)</f>
        <v/>
      </c>
      <c r="B28" s="4">
        <f>IF('01_신청서'!C28="","",'01_신청서'!C28)</f>
        <v/>
      </c>
      <c r="C28" s="4">
        <f>IF('01_신청서'!G28="","",'01_신청서'!G28)</f>
        <v/>
      </c>
      <c r="D28" s="4">
        <f>IF($B28="","",COUNTIF('02_예약표'!$D$6:$J$29,$B28))</f>
        <v/>
      </c>
      <c r="E28" s="4">
        <f>IF($B28="","",COUNTIF('02_예약표'!$D$33:$J$56,$B28))</f>
        <v/>
      </c>
      <c r="F28" s="4">
        <f>IF($B28="","",COUNTIF('02_예약표'!$D$60:$J$83,$B28))</f>
        <v/>
      </c>
      <c r="G28" s="4">
        <f>IF($B28="","",COUNTIF('02_예약표'!$D$87:$J$110,$B28))</f>
        <v/>
      </c>
      <c r="H28" s="15">
        <f>IF($B28="","",$C28-D28)</f>
        <v/>
      </c>
      <c r="I28" s="15">
        <f>IF($B28="","",$C28-E28)</f>
        <v/>
      </c>
      <c r="J28" s="15">
        <f>IF($B28="","",$C28-F28)</f>
        <v/>
      </c>
      <c r="K28" s="15">
        <f>IF($B28="","",$C28-G28)</f>
        <v/>
      </c>
    </row>
    <row r="29">
      <c r="A29" s="5">
        <f>IF('01_신청서'!B29="","",'01_신청서'!B29)</f>
        <v/>
      </c>
      <c r="B29" s="4">
        <f>IF('01_신청서'!C29="","",'01_신청서'!C29)</f>
        <v/>
      </c>
      <c r="C29" s="4">
        <f>IF('01_신청서'!G29="","",'01_신청서'!G29)</f>
        <v/>
      </c>
      <c r="D29" s="4">
        <f>IF($B29="","",COUNTIF('02_예약표'!$D$6:$J$29,$B29))</f>
        <v/>
      </c>
      <c r="E29" s="4">
        <f>IF($B29="","",COUNTIF('02_예약표'!$D$33:$J$56,$B29))</f>
        <v/>
      </c>
      <c r="F29" s="4">
        <f>IF($B29="","",COUNTIF('02_예약표'!$D$60:$J$83,$B29))</f>
        <v/>
      </c>
      <c r="G29" s="4">
        <f>IF($B29="","",COUNTIF('02_예약표'!$D$87:$J$110,$B29))</f>
        <v/>
      </c>
      <c r="H29" s="15">
        <f>IF($B29="","",$C29-D29)</f>
        <v/>
      </c>
      <c r="I29" s="15">
        <f>IF($B29="","",$C29-E29)</f>
        <v/>
      </c>
      <c r="J29" s="15">
        <f>IF($B29="","",$C29-F29)</f>
        <v/>
      </c>
      <c r="K29" s="15">
        <f>IF($B29="","",$C29-G29)</f>
        <v/>
      </c>
    </row>
    <row r="30">
      <c r="A30" s="5">
        <f>IF('01_신청서'!B30="","",'01_신청서'!B30)</f>
        <v/>
      </c>
      <c r="B30" s="4">
        <f>IF('01_신청서'!C30="","",'01_신청서'!C30)</f>
        <v/>
      </c>
      <c r="C30" s="4">
        <f>IF('01_신청서'!G30="","",'01_신청서'!G30)</f>
        <v/>
      </c>
      <c r="D30" s="4">
        <f>IF($B30="","",COUNTIF('02_예약표'!$D$6:$J$29,$B30))</f>
        <v/>
      </c>
      <c r="E30" s="4">
        <f>IF($B30="","",COUNTIF('02_예약표'!$D$33:$J$56,$B30))</f>
        <v/>
      </c>
      <c r="F30" s="4">
        <f>IF($B30="","",COUNTIF('02_예약표'!$D$60:$J$83,$B30))</f>
        <v/>
      </c>
      <c r="G30" s="4">
        <f>IF($B30="","",COUNTIF('02_예약표'!$D$87:$J$110,$B30))</f>
        <v/>
      </c>
      <c r="H30" s="15">
        <f>IF($B30="","",$C30-D30)</f>
        <v/>
      </c>
      <c r="I30" s="15">
        <f>IF($B30="","",$C30-E30)</f>
        <v/>
      </c>
      <c r="J30" s="15">
        <f>IF($B30="","",$C30-F30)</f>
        <v/>
      </c>
      <c r="K30" s="15">
        <f>IF($B30="","",$C30-G30)</f>
        <v/>
      </c>
    </row>
    <row r="31">
      <c r="A31" s="5">
        <f>IF('01_신청서'!B31="","",'01_신청서'!B31)</f>
        <v/>
      </c>
      <c r="B31" s="4">
        <f>IF('01_신청서'!C31="","",'01_신청서'!C31)</f>
        <v/>
      </c>
      <c r="C31" s="4">
        <f>IF('01_신청서'!G31="","",'01_신청서'!G31)</f>
        <v/>
      </c>
      <c r="D31" s="4">
        <f>IF($B31="","",COUNTIF('02_예약표'!$D$6:$J$29,$B31))</f>
        <v/>
      </c>
      <c r="E31" s="4">
        <f>IF($B31="","",COUNTIF('02_예약표'!$D$33:$J$56,$B31))</f>
        <v/>
      </c>
      <c r="F31" s="4">
        <f>IF($B31="","",COUNTIF('02_예약표'!$D$60:$J$83,$B31))</f>
        <v/>
      </c>
      <c r="G31" s="4">
        <f>IF($B31="","",COUNTIF('02_예약표'!$D$87:$J$110,$B31))</f>
        <v/>
      </c>
      <c r="H31" s="15">
        <f>IF($B31="","",$C31-D31)</f>
        <v/>
      </c>
      <c r="I31" s="15">
        <f>IF($B31="","",$C31-E31)</f>
        <v/>
      </c>
      <c r="J31" s="15">
        <f>IF($B31="","",$C31-F31)</f>
        <v/>
      </c>
      <c r="K31" s="15">
        <f>IF($B31="","",$C31-G31)</f>
        <v/>
      </c>
    </row>
    <row r="32">
      <c r="A32" s="5">
        <f>IF('01_신청서'!B32="","",'01_신청서'!B32)</f>
        <v/>
      </c>
      <c r="B32" s="4">
        <f>IF('01_신청서'!C32="","",'01_신청서'!C32)</f>
        <v/>
      </c>
      <c r="C32" s="4">
        <f>IF('01_신청서'!G32="","",'01_신청서'!G32)</f>
        <v/>
      </c>
      <c r="D32" s="4">
        <f>IF($B32="","",COUNTIF('02_예약표'!$D$6:$J$29,$B32))</f>
        <v/>
      </c>
      <c r="E32" s="4">
        <f>IF($B32="","",COUNTIF('02_예약표'!$D$33:$J$56,$B32))</f>
        <v/>
      </c>
      <c r="F32" s="4">
        <f>IF($B32="","",COUNTIF('02_예약표'!$D$60:$J$83,$B32))</f>
        <v/>
      </c>
      <c r="G32" s="4">
        <f>IF($B32="","",COUNTIF('02_예약표'!$D$87:$J$110,$B32))</f>
        <v/>
      </c>
      <c r="H32" s="15">
        <f>IF($B32="","",$C32-D32)</f>
        <v/>
      </c>
      <c r="I32" s="15">
        <f>IF($B32="","",$C32-E32)</f>
        <v/>
      </c>
      <c r="J32" s="15">
        <f>IF($B32="","",$C32-F32)</f>
        <v/>
      </c>
      <c r="K32" s="15">
        <f>IF($B32="","",$C32-G32)</f>
        <v/>
      </c>
    </row>
    <row r="33">
      <c r="A33" s="5">
        <f>IF('01_신청서'!B33="","",'01_신청서'!B33)</f>
        <v/>
      </c>
      <c r="B33" s="4">
        <f>IF('01_신청서'!C33="","",'01_신청서'!C33)</f>
        <v/>
      </c>
      <c r="C33" s="4">
        <f>IF('01_신청서'!G33="","",'01_신청서'!G33)</f>
        <v/>
      </c>
      <c r="D33" s="4">
        <f>IF($B33="","",COUNTIF('02_예약표'!$D$6:$J$29,$B33))</f>
        <v/>
      </c>
      <c r="E33" s="4">
        <f>IF($B33="","",COUNTIF('02_예약표'!$D$33:$J$56,$B33))</f>
        <v/>
      </c>
      <c r="F33" s="4">
        <f>IF($B33="","",COUNTIF('02_예약표'!$D$60:$J$83,$B33))</f>
        <v/>
      </c>
      <c r="G33" s="4">
        <f>IF($B33="","",COUNTIF('02_예약표'!$D$87:$J$110,$B33))</f>
        <v/>
      </c>
      <c r="H33" s="15">
        <f>IF($B33="","",$C33-D33)</f>
        <v/>
      </c>
      <c r="I33" s="15">
        <f>IF($B33="","",$C33-E33)</f>
        <v/>
      </c>
      <c r="J33" s="15">
        <f>IF($B33="","",$C33-F33)</f>
        <v/>
      </c>
      <c r="K33" s="15">
        <f>IF($B33="","",$C33-G33)</f>
        <v/>
      </c>
    </row>
    <row r="34">
      <c r="A34" s="5">
        <f>IF('01_신청서'!B34="","",'01_신청서'!B34)</f>
        <v/>
      </c>
      <c r="B34" s="4">
        <f>IF('01_신청서'!C34="","",'01_신청서'!C34)</f>
        <v/>
      </c>
      <c r="C34" s="4">
        <f>IF('01_신청서'!G34="","",'01_신청서'!G34)</f>
        <v/>
      </c>
      <c r="D34" s="4">
        <f>IF($B34="","",COUNTIF('02_예약표'!$D$6:$J$29,$B34))</f>
        <v/>
      </c>
      <c r="E34" s="4">
        <f>IF($B34="","",COUNTIF('02_예약표'!$D$33:$J$56,$B34))</f>
        <v/>
      </c>
      <c r="F34" s="4">
        <f>IF($B34="","",COUNTIF('02_예약표'!$D$60:$J$83,$B34))</f>
        <v/>
      </c>
      <c r="G34" s="4">
        <f>IF($B34="","",COUNTIF('02_예약표'!$D$87:$J$110,$B34))</f>
        <v/>
      </c>
      <c r="H34" s="15">
        <f>IF($B34="","",$C34-D34)</f>
        <v/>
      </c>
      <c r="I34" s="15">
        <f>IF($B34="","",$C34-E34)</f>
        <v/>
      </c>
      <c r="J34" s="15">
        <f>IF($B34="","",$C34-F34)</f>
        <v/>
      </c>
      <c r="K34" s="15">
        <f>IF($B34="","",$C34-G34)</f>
        <v/>
      </c>
    </row>
    <row r="36">
      <c r="A36" s="9" t="inlineStr">
        <is>
          <t>주차별 전체 예약 블럭</t>
        </is>
      </c>
      <c r="D36" s="25">
        <f>COUNTA('02_예약표'!$D$6:$J$29)-COUNTIF('02_예약표'!$D$6:$J$29,"수업 시간")</f>
        <v/>
      </c>
      <c r="E36" s="25">
        <f>COUNTA('02_예약표'!$D$33:$J$56)-COUNTIF('02_예약표'!$D$33:$J$56,"수업 시간")</f>
        <v/>
      </c>
      <c r="F36" s="25">
        <f>COUNTA('02_예약표'!$D$60:$J$83)-COUNTIF('02_예약표'!$D$60:$J$83,"수업 시간")</f>
        <v/>
      </c>
      <c r="G36" s="25">
        <f>COUNTA('02_예약표'!$D$87:$J$110)-COUNTIF('02_예약표'!$D$87:$J$110,"수업 시간")</f>
        <v/>
      </c>
    </row>
    <row r="37">
      <c r="A37" s="2" t="inlineStr">
        <is>
          <t>주간 공급량 128블럭</t>
        </is>
      </c>
    </row>
  </sheetData>
  <conditionalFormatting sqref="H5:K34">
    <cfRule type="cellIs" priority="1" operator="lessThan" dxfId="0">
      <formula>0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6" customWidth="1" min="3" max="3"/>
  </cols>
  <sheetData>
    <row r="2" ht="28" customHeight="1">
      <c r="B2" s="26" t="inlineStr">
        <is>
          <t>렌더팜 사용 안내</t>
        </is>
      </c>
      <c r="C2" t="inlineStr"/>
    </row>
    <row r="3">
      <c r="B3" t="inlineStr"/>
      <c r="C3" s="27" t="inlineStr">
        <is>
          <t>자세한 사용법은 노션 가이드를 참고하세요. 이 시트는 신청과 예약만 다룹니다.</t>
        </is>
      </c>
    </row>
    <row r="4">
      <c r="B4" t="inlineStr"/>
      <c r="C4" t="inlineStr"/>
    </row>
    <row r="5" ht="22" customHeight="1">
      <c r="B5" s="28" t="inlineStr">
        <is>
          <t>1.  신청</t>
        </is>
      </c>
      <c r="C5" s="29" t="inlineStr"/>
    </row>
    <row r="6" ht="19" customHeight="1">
      <c r="B6" s="30" t="inlineStr">
        <is>
          <t>제출 항목</t>
        </is>
      </c>
      <c r="C6" s="31" t="inlineStr">
        <is>
          <t>팀 프로젝트명 / 팀장 학번 / 팀장 이메일 / 프로젝트 분량(분)</t>
        </is>
      </c>
    </row>
    <row r="7" ht="19" customHeight="1">
      <c r="B7" s="30" t="inlineStr">
        <is>
          <t>분량 기준</t>
        </is>
      </c>
      <c r="C7" s="31" t="inlineStr">
        <is>
          <t>최종 상영 길이. 렌더해야 할 전체 컷의 길이를 적어주세요.</t>
        </is>
      </c>
    </row>
    <row r="8" ht="19" customHeight="1">
      <c r="B8" s="30" t="inlineStr">
        <is>
          <t>접수</t>
        </is>
      </c>
      <c r="C8" s="31" t="inlineStr">
        <is>
          <t>01_신청서 탭에 팀별로 한 줄씩 작성</t>
        </is>
      </c>
    </row>
    <row r="9">
      <c r="B9" t="inlineStr"/>
      <c r="C9" t="inlineStr"/>
    </row>
    <row r="10" ht="22" customHeight="1">
      <c r="B10" s="28" t="inlineStr">
        <is>
          <t>2.  타임블럭과 그룹</t>
        </is>
      </c>
      <c r="C10" s="29" t="inlineStr"/>
    </row>
    <row r="11" ht="19" customHeight="1">
      <c r="B11" s="30" t="inlineStr">
        <is>
          <t>타임블럭 1개</t>
        </is>
      </c>
      <c r="C11" s="31" t="inlineStr">
        <is>
          <t>4시간</t>
        </is>
      </c>
    </row>
    <row r="12" ht="19" customHeight="1">
      <c r="B12" s="30" t="inlineStr">
        <is>
          <t>평일 (월~금)</t>
        </is>
      </c>
      <c r="C12" s="31" t="inlineStr">
        <is>
          <t>19:00 ~ 11:00 만 사용 가능  →  하루 4블럭  (낮 11~19시는 수업)</t>
        </is>
      </c>
    </row>
    <row r="13" ht="19" customHeight="1">
      <c r="B13" s="30" t="inlineStr">
        <is>
          <t>주말 (토·일)</t>
        </is>
      </c>
      <c r="C13" s="31" t="inlineStr">
        <is>
          <t>24시간  →  하루 6블럭</t>
        </is>
      </c>
    </row>
    <row r="14" ht="19" customHeight="1">
      <c r="B14" s="30" t="inlineStr">
        <is>
          <t>PC 그룹</t>
        </is>
      </c>
      <c r="C14" s="31" t="inlineStr">
        <is>
          <t>A · B · C · D 네 묶음. 한 시간대에 네 팀이 동시에 렌더</t>
        </is>
      </c>
    </row>
    <row r="15" ht="19" customHeight="1">
      <c r="B15" s="30" t="inlineStr">
        <is>
          <t>주간 공급량</t>
        </is>
      </c>
      <c r="C15" s="31" t="inlineStr">
        <is>
          <t>평일 5×4×4 = 80  +  주말 2×6×4 = 48  →  총 128블럭</t>
        </is>
      </c>
    </row>
    <row r="16">
      <c r="B16" t="inlineStr"/>
      <c r="C16" t="inlineStr"/>
    </row>
    <row r="17" ht="22" customHeight="1">
      <c r="B17" s="28" t="inlineStr">
        <is>
          <t>3.  라이선스 배정</t>
        </is>
      </c>
      <c r="C17" s="29" t="inlineStr"/>
    </row>
    <row r="18" ht="19" customHeight="1">
      <c r="B18" s="30" t="inlineStr">
        <is>
          <t>라이선스 1개</t>
        </is>
      </c>
      <c r="C18" s="31" t="inlineStr">
        <is>
          <t>주 8블럭 = 32시간</t>
        </is>
      </c>
    </row>
    <row r="19" ht="19" customHeight="1">
      <c r="B19" s="30" t="inlineStr">
        <is>
          <t>3분 이하</t>
        </is>
      </c>
      <c r="C19" s="31" t="inlineStr">
        <is>
          <t>라이선스 1  ·  주 8블럭</t>
        </is>
      </c>
    </row>
    <row r="20" ht="19" customHeight="1">
      <c r="B20" s="30" t="inlineStr">
        <is>
          <t>3분 초과 ~ 6분 이하</t>
        </is>
      </c>
      <c r="C20" s="31" t="inlineStr">
        <is>
          <t>라이선스 2  ·  주 16블럭</t>
        </is>
      </c>
    </row>
    <row r="21" ht="19" customHeight="1">
      <c r="B21" s="30" t="inlineStr">
        <is>
          <t>6분 초과</t>
        </is>
      </c>
      <c r="C21" s="31" t="inlineStr">
        <is>
          <t>라이선스 3  ·  주 24블럭</t>
        </is>
      </c>
    </row>
    <row r="22">
      <c r="B22" t="inlineStr"/>
      <c r="C22" s="27" t="inlineStr">
        <is>
          <t>라이선스 합계가 16을 넘으면(128블럭 초과) 산정 기준을 조정해야 합니다.</t>
        </is>
      </c>
    </row>
    <row r="23">
      <c r="B23" t="inlineStr"/>
      <c r="C23" s="27" t="inlineStr">
        <is>
          <t>라이선스는 상한선이며 할당량이 아닙니다. 블록은 선착순입니다.</t>
        </is>
      </c>
    </row>
    <row r="24">
      <c r="B24" t="inlineStr"/>
      <c r="C24" t="inlineStr"/>
    </row>
    <row r="25" ht="22" customHeight="1">
      <c r="B25" s="28" t="inlineStr">
        <is>
          <t>4.  예약</t>
        </is>
      </c>
      <c r="C25" s="29" t="inlineStr"/>
    </row>
    <row r="26" ht="19" customHeight="1">
      <c r="B26" s="30" t="inlineStr">
        <is>
          <t>방법</t>
        </is>
      </c>
      <c r="C26" s="31" t="inlineStr">
        <is>
          <t>02_예약표에서 시간 + 그룹을 고르고 빈 칸에 본인 학번 입력</t>
        </is>
      </c>
    </row>
    <row r="27" ht="19" customHeight="1">
      <c r="B27" s="30" t="inlineStr">
        <is>
          <t>제출할 때</t>
        </is>
      </c>
      <c r="C27" s="31" t="inlineStr">
        <is>
          <t>Deadline 제출 창의 Pool / Group 을 예약한 그룹과 똑같이 지정</t>
        </is>
      </c>
    </row>
    <row r="28" ht="19" customHeight="1">
      <c r="B28" s="30" t="inlineStr">
        <is>
          <t>미등록 학번</t>
        </is>
      </c>
      <c r="C28" s="31" t="inlineStr">
        <is>
          <t>자동 삭제됩니다</t>
        </is>
      </c>
    </row>
    <row r="29" ht="19" customHeight="1">
      <c r="B29" s="30" t="inlineStr">
        <is>
          <t>안 쓰는 블록</t>
        </is>
      </c>
      <c r="C29" s="31" t="inlineStr">
        <is>
          <t>미리 비워주세요. 그래야 다른 팀이 씁니다</t>
        </is>
      </c>
    </row>
    <row r="30" ht="19" customHeight="1">
      <c r="B30" s="30" t="inlineStr">
        <is>
          <t>심야 블록</t>
        </is>
      </c>
      <c r="C30" s="31" t="inlineStr">
        <is>
          <t>23-03 / 03-07 이 가장 한가합니다. 저녁에 제출하고 자면 됩니다</t>
        </is>
      </c>
    </row>
    <row r="31" ht="19" customHeight="1">
      <c r="B31" s="30" t="inlineStr">
        <is>
          <t>PC 로그인</t>
        </is>
      </c>
      <c r="C31" s="31" t="inlineStr">
        <is>
          <t>예약한 시간에만 Worker PC를 사용하세요</t>
        </is>
      </c>
    </row>
    <row r="32">
      <c r="B32" t="inlineStr"/>
      <c r="C32" t="inlineStr"/>
    </row>
    <row r="33" ht="22" customHeight="1">
      <c r="B33" s="28" t="inlineStr">
        <is>
          <t>5.  위반 시</t>
        </is>
      </c>
      <c r="C33" s="29" t="inlineStr"/>
    </row>
    <row r="34" ht="19" customHeight="1">
      <c r="B34" s="30" t="inlineStr">
        <is>
          <t>위반 유형</t>
        </is>
      </c>
      <c r="C34" s="31" t="inlineStr">
        <is>
          <t>타 학번으로 예약 / 타인 예약 수정·가로채기 / 예약 없이 제출 / 블록 선점 후 방치</t>
        </is>
      </c>
    </row>
    <row r="35" ht="19" customHeight="1">
      <c r="B35" s="30" t="inlineStr">
        <is>
          <t>1회</t>
        </is>
      </c>
      <c r="C35" s="31" t="inlineStr">
        <is>
          <t>경고 및 기록 공유</t>
        </is>
      </c>
    </row>
    <row r="36" ht="19" customHeight="1">
      <c r="B36" s="30" t="inlineStr">
        <is>
          <t>2회</t>
        </is>
      </c>
      <c r="C36" s="31" t="inlineStr">
        <is>
          <t>해당 주 라이선스 −2블럭</t>
        </is>
      </c>
    </row>
    <row r="37" ht="19" customHeight="1">
      <c r="B37" s="30" t="inlineStr">
        <is>
          <t>3회</t>
        </is>
      </c>
      <c r="C37" s="31" t="inlineStr">
        <is>
          <t>3일간 렌더팜 사용 정지</t>
        </is>
      </c>
    </row>
    <row r="38" ht="19" customHeight="1">
      <c r="B38" s="30" t="inlineStr">
        <is>
          <t>4회 이상</t>
        </is>
      </c>
      <c r="C38" s="31" t="inlineStr">
        <is>
          <t>팀 렌더팜 사용권 박탈 (졸준위·지도교수 협의)</t>
        </is>
      </c>
    </row>
    <row r="39">
      <c r="B39" t="inlineStr"/>
      <c r="C39" t="inlineStr"/>
    </row>
    <row r="40" ht="22" customHeight="1">
      <c r="B40" s="28" t="inlineStr">
        <is>
          <t>6.  문의</t>
        </is>
      </c>
      <c r="C40" s="29" t="inlineStr"/>
    </row>
    <row r="41" ht="19" customHeight="1">
      <c r="B41" s="30" t="inlineStr">
        <is>
          <t>예약 · 타임블럭 배정</t>
        </is>
      </c>
      <c r="C41" s="31" t="inlineStr">
        <is>
          <t>졸업준비위원회</t>
        </is>
      </c>
    </row>
    <row r="42" ht="19" customHeight="1">
      <c r="B42" s="30" t="inlineStr">
        <is>
          <t>렌더 실패 · 장비 문제</t>
        </is>
      </c>
      <c r="C42" s="31" t="inlineStr">
        <is>
          <t>이상빈 (C393169)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2026-10-17T07:35:40Z</dcterms:created>
  <dcterms:modified xmlns:dcterms="http://purl.org/dc/terms/" xmlns:xsi="http://www.w3.org/2001/XMLSchema-instance" xsi:type="dcterms:W3CDTF">2026-10-17T07:35:40Z</dcterms:modified>
</cp:coreProperties>
</file>